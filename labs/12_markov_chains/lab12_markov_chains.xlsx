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13_ncr:1_{B4A6C80D-BEF5-4BB5-93BF-129F684E9A20}" xr6:coauthVersionLast="47" xr6:coauthVersionMax="47" xr10:uidLastSave="{00000000-0000-0000-0000-000000000000}"/>
  <bookViews>
    <workbookView xWindow="552" yWindow="1104" windowWidth="20400" windowHeight="10332" xr2:uid="{11BE99BB-4937-426A-BF13-52D3D6C386EF}"/>
  </bookViews>
  <sheets>
    <sheet name="stationary_distribution" sheetId="1" r:id="rId1"/>
    <sheet name="simul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  <c r="H3" i="2" s="1"/>
  <c r="C7" i="1"/>
  <c r="C8" i="1"/>
  <c r="N5" i="1"/>
  <c r="N6" i="1" s="1"/>
  <c r="M5" i="1"/>
  <c r="M6" i="1"/>
  <c r="M7" i="1" s="1"/>
  <c r="N4" i="1"/>
  <c r="M4" i="1"/>
  <c r="K5" i="1"/>
  <c r="K6" i="1" s="1"/>
  <c r="K4" i="1"/>
  <c r="J5" i="1" s="1"/>
  <c r="J6" i="1" s="1"/>
  <c r="J4" i="1"/>
  <c r="H5" i="1"/>
  <c r="H6" i="1"/>
  <c r="H4" i="1"/>
  <c r="G4" i="1"/>
  <c r="H4" i="2" l="1"/>
  <c r="H5" i="2" s="1"/>
  <c r="H6" i="2" s="1"/>
  <c r="N7" i="1"/>
  <c r="N8" i="1" s="1"/>
  <c r="J7" i="1"/>
  <c r="K7" i="1"/>
  <c r="G5" i="1"/>
  <c r="G6" i="1" s="1"/>
  <c r="H7" i="2" l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L3" i="2"/>
  <c r="L4" i="2" s="1"/>
  <c r="M8" i="1"/>
  <c r="J8" i="1"/>
  <c r="K8" i="1"/>
  <c r="G7" i="1"/>
  <c r="H7" i="1"/>
  <c r="N3" i="2" l="1"/>
  <c r="N4" i="2" s="1"/>
  <c r="M3" i="2"/>
  <c r="M4" i="2" s="1"/>
  <c r="M9" i="1"/>
  <c r="N9" i="1"/>
  <c r="J9" i="1"/>
  <c r="K9" i="1"/>
  <c r="G8" i="1"/>
  <c r="H8" i="1"/>
  <c r="O3" i="2" l="1"/>
  <c r="O4" i="2" s="1"/>
  <c r="M10" i="1"/>
  <c r="N10" i="1"/>
  <c r="J10" i="1"/>
  <c r="K10" i="1"/>
  <c r="G9" i="1"/>
  <c r="H9" i="1"/>
  <c r="P3" i="2" l="1"/>
  <c r="P4" i="2" s="1"/>
  <c r="M11" i="1"/>
  <c r="N11" i="1"/>
  <c r="J11" i="1"/>
  <c r="K11" i="1"/>
  <c r="G10" i="1"/>
  <c r="H10" i="1"/>
  <c r="Q3" i="2" l="1"/>
  <c r="Q4" i="2" s="1"/>
  <c r="M12" i="1"/>
  <c r="N12" i="1"/>
  <c r="J12" i="1"/>
  <c r="K12" i="1"/>
  <c r="G11" i="1"/>
  <c r="H11" i="1"/>
  <c r="M13" i="1" l="1"/>
  <c r="N13" i="1"/>
  <c r="J13" i="1"/>
  <c r="K13" i="1"/>
  <c r="G12" i="1"/>
  <c r="H12" i="1"/>
  <c r="R3" i="2" l="1"/>
  <c r="R4" i="2" s="1"/>
  <c r="M14" i="1"/>
  <c r="N14" i="1"/>
  <c r="J14" i="1"/>
  <c r="K14" i="1"/>
  <c r="G13" i="1"/>
  <c r="H13" i="1"/>
  <c r="T3" i="2" l="1"/>
  <c r="T4" i="2" s="1"/>
  <c r="S3" i="2"/>
  <c r="S4" i="2" s="1"/>
  <c r="M15" i="1"/>
  <c r="N15" i="1"/>
  <c r="J15" i="1"/>
  <c r="K15" i="1"/>
  <c r="G14" i="1"/>
  <c r="H14" i="1"/>
  <c r="M16" i="1" l="1"/>
  <c r="N16" i="1"/>
  <c r="J16" i="1"/>
  <c r="K16" i="1"/>
  <c r="G15" i="1"/>
  <c r="H15" i="1"/>
  <c r="U3" i="2" l="1"/>
  <c r="U4" i="2" s="1"/>
  <c r="M17" i="1"/>
  <c r="N17" i="1"/>
  <c r="J17" i="1"/>
  <c r="K17" i="1"/>
  <c r="G16" i="1"/>
  <c r="H16" i="1"/>
  <c r="V3" i="2" l="1"/>
  <c r="V4" i="2" s="1"/>
  <c r="M18" i="1"/>
  <c r="N18" i="1"/>
  <c r="J18" i="1"/>
  <c r="K18" i="1"/>
  <c r="G17" i="1"/>
  <c r="H17" i="1"/>
  <c r="Y3" i="2" l="1"/>
  <c r="Y4" i="2" s="1"/>
  <c r="W3" i="2"/>
  <c r="W4" i="2" s="1"/>
  <c r="AA3" i="2"/>
  <c r="AA4" i="2" s="1"/>
  <c r="AB3" i="2"/>
  <c r="AB4" i="2" s="1"/>
  <c r="X3" i="2"/>
  <c r="X4" i="2" s="1"/>
  <c r="Z3" i="2"/>
  <c r="Z4" i="2" s="1"/>
  <c r="M19" i="1"/>
  <c r="N19" i="1"/>
  <c r="J19" i="1"/>
  <c r="K19" i="1"/>
  <c r="G18" i="1"/>
  <c r="H18" i="1"/>
  <c r="AD3" i="2" l="1"/>
  <c r="AD4" i="2" s="1"/>
  <c r="AC3" i="2"/>
  <c r="AC4" i="2" s="1"/>
  <c r="M20" i="1"/>
  <c r="N20" i="1"/>
  <c r="J20" i="1"/>
  <c r="K20" i="1"/>
  <c r="G19" i="1"/>
  <c r="H19" i="1"/>
  <c r="M21" i="1" l="1"/>
  <c r="N21" i="1"/>
  <c r="J21" i="1"/>
  <c r="K21" i="1"/>
  <c r="G20" i="1"/>
  <c r="H20" i="1"/>
  <c r="M22" i="1" l="1"/>
  <c r="N22" i="1"/>
  <c r="J22" i="1"/>
  <c r="K22" i="1"/>
  <c r="G21" i="1"/>
  <c r="H21" i="1"/>
  <c r="M23" i="1" l="1"/>
  <c r="N23" i="1"/>
  <c r="J23" i="1"/>
  <c r="K23" i="1"/>
  <c r="G22" i="1"/>
  <c r="H22" i="1"/>
  <c r="G23" i="1" l="1"/>
  <c r="H23" i="1"/>
</calcChain>
</file>

<file path=xl/sharedStrings.xml><?xml version="1.0" encoding="utf-8"?>
<sst xmlns="http://schemas.openxmlformats.org/spreadsheetml/2006/main" count="10" uniqueCount="6">
  <si>
    <t xml:space="preserve">P = </t>
  </si>
  <si>
    <t>p1</t>
  </si>
  <si>
    <t>p2</t>
  </si>
  <si>
    <t>transition_matrix</t>
  </si>
  <si>
    <t>initial_state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</si>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</sst>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166" fontId="1" fillId="3" borderId="13" xfId="0" applyNumberFormat="1" applyFont="1" applyFill="1" applyBorder="1" applyAlignment="1">
      <alignment horizontal="center" vertical="center"/>
    </xf>
    <xf numFmtId="166" fontId="1" fillId="3" borderId="8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7" fontId="1" fillId="3" borderId="9" xfId="0" applyNumberFormat="1" applyFont="1" applyFill="1" applyBorder="1" applyAlignment="1">
      <alignment horizontal="center" vertical="center"/>
    </xf>
    <xf numFmtId="165" fontId="1" fillId="3" borderId="13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p1 a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simulation!$K$2:$AD$2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simulation!$K$3:$AD$3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0.2</c:v>
                </c:pt>
                <c:pt idx="5">
                  <c:v>0.33333333333333331</c:v>
                </c:pt>
                <c:pt idx="6">
                  <c:v>0.42857142857142855</c:v>
                </c:pt>
                <c:pt idx="7">
                  <c:v>0.375</c:v>
                </c:pt>
                <c:pt idx="8">
                  <c:v>0.44444444444444442</c:v>
                </c:pt>
                <c:pt idx="9">
                  <c:v>0.4</c:v>
                </c:pt>
                <c:pt idx="10">
                  <c:v>0.45454545454545453</c:v>
                </c:pt>
                <c:pt idx="11">
                  <c:v>0.5</c:v>
                </c:pt>
                <c:pt idx="12">
                  <c:v>0.53846153846153844</c:v>
                </c:pt>
                <c:pt idx="13">
                  <c:v>0.5714285714285714</c:v>
                </c:pt>
                <c:pt idx="14">
                  <c:v>0.53333333333333333</c:v>
                </c:pt>
                <c:pt idx="15">
                  <c:v>0.5625</c:v>
                </c:pt>
                <c:pt idx="16">
                  <c:v>0.52941176470588236</c:v>
                </c:pt>
                <c:pt idx="17">
                  <c:v>0.55555555555555558</c:v>
                </c:pt>
                <c:pt idx="18">
                  <c:v>0.52631578947368418</c:v>
                </c:pt>
                <c:pt idx="1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3-4C18-BBC3-4482B133BA0B}"/>
            </c:ext>
          </c:extLst>
        </c:ser>
        <c:ser>
          <c:idx val="1"/>
          <c:order val="1"/>
          <c:tx>
            <c:strRef>
              <c:f>simulation!$K$4:$AD$4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0,75</c:v>
                </c:pt>
                <c:pt idx="4">
                  <c:v>0,8</c:v>
                </c:pt>
                <c:pt idx="5">
                  <c:v>0,666666667</c:v>
                </c:pt>
                <c:pt idx="6">
                  <c:v>0,571428571</c:v>
                </c:pt>
                <c:pt idx="7">
                  <c:v>0,625</c:v>
                </c:pt>
                <c:pt idx="8">
                  <c:v>0,555555556</c:v>
                </c:pt>
                <c:pt idx="9">
                  <c:v>0,6</c:v>
                </c:pt>
                <c:pt idx="10">
                  <c:v>0,545454545</c:v>
                </c:pt>
                <c:pt idx="11">
                  <c:v>0,5</c:v>
                </c:pt>
                <c:pt idx="12">
                  <c:v>0,461538462</c:v>
                </c:pt>
                <c:pt idx="13">
                  <c:v>0,428571429</c:v>
                </c:pt>
                <c:pt idx="14">
                  <c:v>0,466666667</c:v>
                </c:pt>
                <c:pt idx="15">
                  <c:v>0,4375</c:v>
                </c:pt>
                <c:pt idx="16">
                  <c:v>0,470588235</c:v>
                </c:pt>
                <c:pt idx="17">
                  <c:v>0,444444444</c:v>
                </c:pt>
                <c:pt idx="18">
                  <c:v>0,473684211</c:v>
                </c:pt>
                <c:pt idx="19">
                  <c:v>0,5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simulation!$K$4:$AD$4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0.8</c:v>
                </c:pt>
                <c:pt idx="5">
                  <c:v>0.66666666666666674</c:v>
                </c:pt>
                <c:pt idx="6">
                  <c:v>0.5714285714285714</c:v>
                </c:pt>
                <c:pt idx="7">
                  <c:v>0.625</c:v>
                </c:pt>
                <c:pt idx="8">
                  <c:v>0.55555555555555558</c:v>
                </c:pt>
                <c:pt idx="9">
                  <c:v>0.6</c:v>
                </c:pt>
                <c:pt idx="10">
                  <c:v>0.54545454545454541</c:v>
                </c:pt>
                <c:pt idx="11">
                  <c:v>0.5</c:v>
                </c:pt>
                <c:pt idx="12">
                  <c:v>0.46153846153846156</c:v>
                </c:pt>
                <c:pt idx="13">
                  <c:v>0.4285714285714286</c:v>
                </c:pt>
                <c:pt idx="14">
                  <c:v>0.46666666666666667</c:v>
                </c:pt>
                <c:pt idx="15">
                  <c:v>0.4375</c:v>
                </c:pt>
                <c:pt idx="16">
                  <c:v>0.47058823529411764</c:v>
                </c:pt>
                <c:pt idx="17">
                  <c:v>0.44444444444444442</c:v>
                </c:pt>
                <c:pt idx="18">
                  <c:v>0.47368421052631582</c:v>
                </c:pt>
                <c:pt idx="1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83-4C18-BBC3-4482B133B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708976"/>
        <c:axId val="927709808"/>
      </c:lineChart>
      <c:catAx>
        <c:axId val="92770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27709808"/>
        <c:crosses val="autoZero"/>
        <c:auto val="1"/>
        <c:lblAlgn val="ctr"/>
        <c:lblOffset val="100"/>
        <c:noMultiLvlLbl val="0"/>
      </c:catAx>
      <c:valAx>
        <c:axId val="9277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2770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5</xdr:row>
      <xdr:rowOff>22860</xdr:rowOff>
    </xdr:from>
    <xdr:to>
      <xdr:col>16</xdr:col>
      <xdr:colOff>342900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97D0D-54F9-405C-AA3F-893704096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5FE9-7665-444C-BA1B-8F2A579936CD}">
  <dimension ref="B2:N23"/>
  <sheetViews>
    <sheetView tabSelected="1" workbookViewId="0">
      <selection activeCell="B1" sqref="B1:B1048576"/>
    </sheetView>
  </sheetViews>
  <sheetFormatPr defaultRowHeight="17.399999999999999" x14ac:dyDescent="0.3"/>
  <cols>
    <col min="1" max="1" width="8.88671875" style="1"/>
    <col min="2" max="2" width="19.88671875" style="1" bestFit="1" customWidth="1"/>
    <col min="3" max="6" width="8.88671875" style="1"/>
    <col min="7" max="7" width="9.6640625" style="8" bestFit="1" customWidth="1"/>
    <col min="8" max="8" width="15.77734375" style="1" bestFit="1" customWidth="1"/>
    <col min="9" max="9" width="8.88671875" style="1"/>
    <col min="10" max="10" width="10.44140625" style="1" customWidth="1"/>
    <col min="11" max="11" width="10.33203125" style="1" customWidth="1"/>
    <col min="12" max="12" width="8.88671875" style="1"/>
    <col min="13" max="13" width="11.21875" style="1" customWidth="1"/>
    <col min="14" max="14" width="11.5546875" style="1" customWidth="1"/>
    <col min="15" max="16384" width="8.88671875" style="1"/>
  </cols>
  <sheetData>
    <row r="2" spans="2:14" ht="18" thickBot="1" x14ac:dyDescent="0.35"/>
    <row r="3" spans="2:14" ht="18" thickBot="1" x14ac:dyDescent="0.35">
      <c r="B3" s="5" t="s">
        <v>3</v>
      </c>
      <c r="C3" s="9">
        <v>0.5</v>
      </c>
      <c r="D3" s="10">
        <v>0.5</v>
      </c>
      <c r="G3" s="17">
        <v>1</v>
      </c>
      <c r="H3" s="3">
        <v>0</v>
      </c>
      <c r="J3" s="6">
        <v>0</v>
      </c>
      <c r="K3" s="5">
        <v>1</v>
      </c>
      <c r="M3" s="5">
        <v>0.5</v>
      </c>
      <c r="N3" s="7">
        <v>0.5</v>
      </c>
    </row>
    <row r="4" spans="2:14" ht="18" thickBot="1" x14ac:dyDescent="0.35">
      <c r="C4" s="11">
        <v>0.2</v>
      </c>
      <c r="D4" s="9">
        <v>0.8</v>
      </c>
      <c r="F4" s="2">
        <v>1</v>
      </c>
      <c r="G4" s="23">
        <f>G3*$C$3+H3*$C$4</f>
        <v>0.5</v>
      </c>
      <c r="H4" s="10">
        <f>G3*$D$3+H3*$D$4</f>
        <v>0.5</v>
      </c>
      <c r="J4" s="20">
        <f>J3*$C$3+K3*$C$4</f>
        <v>0.2</v>
      </c>
      <c r="K4" s="21">
        <f>J3*$D$3+K3*$D$4</f>
        <v>0.8</v>
      </c>
      <c r="M4" s="21">
        <f>M3*$C$3+N3*$C$4</f>
        <v>0.35</v>
      </c>
      <c r="N4" s="16">
        <f>M3*$D$3+N3*$D$4</f>
        <v>0.65</v>
      </c>
    </row>
    <row r="5" spans="2:14" x14ac:dyDescent="0.3">
      <c r="F5" s="15">
        <v>2</v>
      </c>
      <c r="G5" s="26">
        <f t="shared" ref="G5:G22" si="0">G4*$C$3+H4*$C$4</f>
        <v>0.35</v>
      </c>
      <c r="H5" s="16">
        <f t="shared" ref="H5:H23" si="1">G4*$D$3+H4*$D$4</f>
        <v>0.65</v>
      </c>
      <c r="J5" s="20">
        <f t="shared" ref="J5:J23" si="2">J4*$C$3+K4*$C$4</f>
        <v>0.26</v>
      </c>
      <c r="K5" s="21">
        <f t="shared" ref="K5:K23" si="3">J4*$D$3+K4*$D$4</f>
        <v>0.7400000000000001</v>
      </c>
      <c r="M5" s="21">
        <f t="shared" ref="M5:M23" si="4">M4*$C$3+N4*$C$4</f>
        <v>0.30499999999999999</v>
      </c>
      <c r="N5" s="16">
        <f t="shared" ref="N5:N23" si="5">M4*$D$3+N4*$D$4</f>
        <v>0.69500000000000006</v>
      </c>
    </row>
    <row r="6" spans="2:14" ht="18" thickBot="1" x14ac:dyDescent="0.35">
      <c r="F6" s="15">
        <v>3</v>
      </c>
      <c r="G6" s="25">
        <f t="shared" si="0"/>
        <v>0.30499999999999999</v>
      </c>
      <c r="H6" s="16">
        <f t="shared" si="1"/>
        <v>0.69500000000000006</v>
      </c>
      <c r="J6" s="20">
        <f t="shared" si="2"/>
        <v>0.27800000000000002</v>
      </c>
      <c r="K6" s="21">
        <f t="shared" si="3"/>
        <v>0.72200000000000009</v>
      </c>
      <c r="M6" s="21">
        <f t="shared" si="4"/>
        <v>0.29149999999999998</v>
      </c>
      <c r="N6" s="16">
        <f t="shared" si="5"/>
        <v>0.70850000000000002</v>
      </c>
    </row>
    <row r="7" spans="2:14" ht="18" thickBot="1" x14ac:dyDescent="0.35">
      <c r="B7" s="5" t="s">
        <v>1</v>
      </c>
      <c r="C7" s="13">
        <f>C4/(D3+C4)</f>
        <v>0.28571428571428575</v>
      </c>
      <c r="F7" s="15">
        <v>4</v>
      </c>
      <c r="G7" s="24">
        <f t="shared" si="0"/>
        <v>0.29149999999999998</v>
      </c>
      <c r="H7" s="16">
        <f t="shared" si="1"/>
        <v>0.70850000000000002</v>
      </c>
      <c r="J7" s="20">
        <f t="shared" si="2"/>
        <v>0.28340000000000004</v>
      </c>
      <c r="K7" s="21">
        <f t="shared" si="3"/>
        <v>0.71660000000000013</v>
      </c>
      <c r="M7" s="21">
        <f t="shared" si="4"/>
        <v>0.28744999999999998</v>
      </c>
      <c r="N7" s="16">
        <f t="shared" si="5"/>
        <v>0.71255000000000002</v>
      </c>
    </row>
    <row r="8" spans="2:14" ht="18" thickBot="1" x14ac:dyDescent="0.35">
      <c r="B8" s="14" t="s">
        <v>2</v>
      </c>
      <c r="C8" s="12">
        <f>D3/(D3+C4)</f>
        <v>0.7142857142857143</v>
      </c>
      <c r="F8" s="15">
        <v>5</v>
      </c>
      <c r="G8" s="18">
        <f t="shared" si="0"/>
        <v>0.28744999999999998</v>
      </c>
      <c r="H8" s="16">
        <f t="shared" si="1"/>
        <v>0.71255000000000002</v>
      </c>
      <c r="J8" s="20">
        <f t="shared" si="2"/>
        <v>0.28502000000000005</v>
      </c>
      <c r="K8" s="21">
        <f t="shared" si="3"/>
        <v>0.71498000000000017</v>
      </c>
      <c r="M8" s="21">
        <f t="shared" si="4"/>
        <v>0.28623500000000002</v>
      </c>
      <c r="N8" s="16">
        <f t="shared" si="5"/>
        <v>0.71376499999999998</v>
      </c>
    </row>
    <row r="9" spans="2:14" x14ac:dyDescent="0.3">
      <c r="F9" s="15">
        <v>6</v>
      </c>
      <c r="G9" s="18">
        <f t="shared" si="0"/>
        <v>0.28623500000000002</v>
      </c>
      <c r="H9" s="16">
        <f t="shared" si="1"/>
        <v>0.71376499999999998</v>
      </c>
      <c r="J9" s="20">
        <f t="shared" si="2"/>
        <v>0.28550600000000004</v>
      </c>
      <c r="K9" s="21">
        <f t="shared" si="3"/>
        <v>0.71449400000000018</v>
      </c>
      <c r="M9" s="21">
        <f t="shared" si="4"/>
        <v>0.28587050000000003</v>
      </c>
      <c r="N9" s="16">
        <f t="shared" si="5"/>
        <v>0.71412949999999997</v>
      </c>
    </row>
    <row r="10" spans="2:14" x14ac:dyDescent="0.3">
      <c r="F10" s="15">
        <v>7</v>
      </c>
      <c r="G10" s="18">
        <f t="shared" si="0"/>
        <v>0.28587050000000003</v>
      </c>
      <c r="H10" s="16">
        <f t="shared" si="1"/>
        <v>0.71412949999999997</v>
      </c>
      <c r="J10" s="20">
        <f t="shared" si="2"/>
        <v>0.28565180000000007</v>
      </c>
      <c r="K10" s="21">
        <f t="shared" si="3"/>
        <v>0.71434820000000021</v>
      </c>
      <c r="M10" s="21">
        <f t="shared" si="4"/>
        <v>0.28576115000000002</v>
      </c>
      <c r="N10" s="16">
        <f t="shared" si="5"/>
        <v>0.71423885000000009</v>
      </c>
    </row>
    <row r="11" spans="2:14" x14ac:dyDescent="0.3">
      <c r="F11" s="15">
        <v>8</v>
      </c>
      <c r="G11" s="18">
        <f t="shared" si="0"/>
        <v>0.28576115000000002</v>
      </c>
      <c r="H11" s="16">
        <f t="shared" si="1"/>
        <v>0.71423885000000009</v>
      </c>
      <c r="J11" s="20">
        <f t="shared" si="2"/>
        <v>0.28569554000000008</v>
      </c>
      <c r="K11" s="21">
        <f t="shared" si="3"/>
        <v>0.71430446000000025</v>
      </c>
      <c r="M11" s="21">
        <f t="shared" si="4"/>
        <v>0.28572834499999999</v>
      </c>
      <c r="N11" s="16">
        <f t="shared" si="5"/>
        <v>0.71427165500000012</v>
      </c>
    </row>
    <row r="12" spans="2:14" x14ac:dyDescent="0.3">
      <c r="F12" s="15">
        <v>9</v>
      </c>
      <c r="G12" s="18">
        <f t="shared" si="0"/>
        <v>0.28572834499999999</v>
      </c>
      <c r="H12" s="16">
        <f t="shared" si="1"/>
        <v>0.71427165500000012</v>
      </c>
      <c r="J12" s="20">
        <f t="shared" si="2"/>
        <v>0.28570866200000011</v>
      </c>
      <c r="K12" s="21">
        <f t="shared" si="3"/>
        <v>0.71429133800000022</v>
      </c>
      <c r="M12" s="21">
        <f t="shared" si="4"/>
        <v>0.28571850350000005</v>
      </c>
      <c r="N12" s="16">
        <f t="shared" si="5"/>
        <v>0.71428149650000017</v>
      </c>
    </row>
    <row r="13" spans="2:14" x14ac:dyDescent="0.3">
      <c r="F13" s="15">
        <v>10</v>
      </c>
      <c r="G13" s="18">
        <f t="shared" si="0"/>
        <v>0.28571850350000005</v>
      </c>
      <c r="H13" s="16">
        <f t="shared" si="1"/>
        <v>0.71428149650000017</v>
      </c>
      <c r="J13" s="20">
        <f t="shared" si="2"/>
        <v>0.28571259860000009</v>
      </c>
      <c r="K13" s="21">
        <f t="shared" si="3"/>
        <v>0.71428740140000024</v>
      </c>
      <c r="M13" s="21">
        <f t="shared" si="4"/>
        <v>0.28571555105000007</v>
      </c>
      <c r="N13" s="16">
        <f t="shared" si="5"/>
        <v>0.71428444895000021</v>
      </c>
    </row>
    <row r="14" spans="2:14" x14ac:dyDescent="0.3">
      <c r="F14" s="15">
        <v>11</v>
      </c>
      <c r="G14" s="18">
        <f t="shared" si="0"/>
        <v>0.28571555105000007</v>
      </c>
      <c r="H14" s="16">
        <f t="shared" si="1"/>
        <v>0.71428444895000021</v>
      </c>
      <c r="J14" s="20">
        <f t="shared" si="2"/>
        <v>0.2857137795800001</v>
      </c>
      <c r="K14" s="21">
        <f t="shared" si="3"/>
        <v>0.71428622042000023</v>
      </c>
      <c r="M14" s="21">
        <f t="shared" si="4"/>
        <v>0.28571466531500012</v>
      </c>
      <c r="N14" s="16">
        <f t="shared" si="5"/>
        <v>0.71428533468500022</v>
      </c>
    </row>
    <row r="15" spans="2:14" x14ac:dyDescent="0.3">
      <c r="F15" s="15">
        <v>12</v>
      </c>
      <c r="G15" s="18">
        <f t="shared" si="0"/>
        <v>0.28571466531500012</v>
      </c>
      <c r="H15" s="16">
        <f t="shared" si="1"/>
        <v>0.71428533468500022</v>
      </c>
      <c r="J15" s="20">
        <f t="shared" si="2"/>
        <v>0.28571413387400013</v>
      </c>
      <c r="K15" s="21">
        <f t="shared" si="3"/>
        <v>0.71428586612600031</v>
      </c>
      <c r="M15" s="21">
        <f t="shared" si="4"/>
        <v>0.28571439959450007</v>
      </c>
      <c r="N15" s="16">
        <f t="shared" si="5"/>
        <v>0.71428560040550026</v>
      </c>
    </row>
    <row r="16" spans="2:14" x14ac:dyDescent="0.3">
      <c r="F16" s="15">
        <v>13</v>
      </c>
      <c r="G16" s="18">
        <f t="shared" si="0"/>
        <v>0.28571439959450007</v>
      </c>
      <c r="H16" s="16">
        <f t="shared" si="1"/>
        <v>0.71428560040550026</v>
      </c>
      <c r="J16" s="20">
        <f t="shared" si="2"/>
        <v>0.28571424016220015</v>
      </c>
      <c r="K16" s="21">
        <f t="shared" si="3"/>
        <v>0.71428575983780029</v>
      </c>
      <c r="M16" s="21">
        <f t="shared" si="4"/>
        <v>0.28571431987835005</v>
      </c>
      <c r="N16" s="16">
        <f t="shared" si="5"/>
        <v>0.71428568012165017</v>
      </c>
    </row>
    <row r="17" spans="6:14" x14ac:dyDescent="0.3">
      <c r="F17" s="15">
        <v>14</v>
      </c>
      <c r="G17" s="18">
        <f t="shared" si="0"/>
        <v>0.28571431987835005</v>
      </c>
      <c r="H17" s="16">
        <f t="shared" si="1"/>
        <v>0.71428568012165017</v>
      </c>
      <c r="J17" s="20">
        <f t="shared" si="2"/>
        <v>0.28571427204866018</v>
      </c>
      <c r="K17" s="21">
        <f t="shared" si="3"/>
        <v>0.71428572795134038</v>
      </c>
      <c r="M17" s="21">
        <f t="shared" si="4"/>
        <v>0.28571429596350506</v>
      </c>
      <c r="N17" s="16">
        <f t="shared" si="5"/>
        <v>0.71428570403649516</v>
      </c>
    </row>
    <row r="18" spans="6:14" x14ac:dyDescent="0.3">
      <c r="F18" s="15">
        <v>15</v>
      </c>
      <c r="G18" s="18">
        <f t="shared" si="0"/>
        <v>0.28571429596350506</v>
      </c>
      <c r="H18" s="16">
        <f t="shared" si="1"/>
        <v>0.71428570403649516</v>
      </c>
      <c r="J18" s="20">
        <f t="shared" si="2"/>
        <v>0.28571428161459816</v>
      </c>
      <c r="K18" s="21">
        <f t="shared" si="3"/>
        <v>0.71428571838540234</v>
      </c>
      <c r="M18" s="21">
        <f t="shared" si="4"/>
        <v>0.28571428878905158</v>
      </c>
      <c r="N18" s="16">
        <f t="shared" si="5"/>
        <v>0.71428571121094864</v>
      </c>
    </row>
    <row r="19" spans="6:14" x14ac:dyDescent="0.3">
      <c r="F19" s="15">
        <v>16</v>
      </c>
      <c r="G19" s="18">
        <f t="shared" si="0"/>
        <v>0.28571428878905158</v>
      </c>
      <c r="H19" s="16">
        <f t="shared" si="1"/>
        <v>0.71428571121094864</v>
      </c>
      <c r="J19" s="20">
        <f t="shared" si="2"/>
        <v>0.28571428448437952</v>
      </c>
      <c r="K19" s="21">
        <f t="shared" si="3"/>
        <v>0.71428571551562092</v>
      </c>
      <c r="M19" s="21">
        <f t="shared" si="4"/>
        <v>0.2857142866367155</v>
      </c>
      <c r="N19" s="16">
        <f t="shared" si="5"/>
        <v>0.71428571336328472</v>
      </c>
    </row>
    <row r="20" spans="6:14" x14ac:dyDescent="0.3">
      <c r="F20" s="15">
        <v>17</v>
      </c>
      <c r="G20" s="18">
        <f t="shared" si="0"/>
        <v>0.2857142866367155</v>
      </c>
      <c r="H20" s="16">
        <f t="shared" si="1"/>
        <v>0.71428571336328472</v>
      </c>
      <c r="J20" s="20">
        <f t="shared" si="2"/>
        <v>0.28571428534531396</v>
      </c>
      <c r="K20" s="21">
        <f t="shared" si="3"/>
        <v>0.7142857146546866</v>
      </c>
      <c r="M20" s="21">
        <f t="shared" si="4"/>
        <v>0.28571428599101467</v>
      </c>
      <c r="N20" s="16">
        <f t="shared" si="5"/>
        <v>0.71428571400898555</v>
      </c>
    </row>
    <row r="21" spans="6:14" x14ac:dyDescent="0.3">
      <c r="F21" s="15">
        <v>18</v>
      </c>
      <c r="G21" s="18">
        <f t="shared" si="0"/>
        <v>0.28571428599101467</v>
      </c>
      <c r="H21" s="16">
        <f t="shared" si="1"/>
        <v>0.71428571400898555</v>
      </c>
      <c r="J21" s="20">
        <f t="shared" si="2"/>
        <v>0.2857142856035943</v>
      </c>
      <c r="K21" s="21">
        <f t="shared" si="3"/>
        <v>0.71428571439640631</v>
      </c>
      <c r="M21" s="21">
        <f t="shared" si="4"/>
        <v>0.28571428579730446</v>
      </c>
      <c r="N21" s="16">
        <f t="shared" si="5"/>
        <v>0.71428571420269582</v>
      </c>
    </row>
    <row r="22" spans="6:14" x14ac:dyDescent="0.3">
      <c r="F22" s="15">
        <v>19</v>
      </c>
      <c r="G22" s="18">
        <f t="shared" si="0"/>
        <v>0.28571428579730446</v>
      </c>
      <c r="H22" s="16">
        <f t="shared" si="1"/>
        <v>0.71428571420269582</v>
      </c>
      <c r="J22" s="20">
        <f t="shared" si="2"/>
        <v>0.28571428568107843</v>
      </c>
      <c r="K22" s="21">
        <f t="shared" si="3"/>
        <v>0.71428571431892229</v>
      </c>
      <c r="M22" s="21">
        <f t="shared" si="4"/>
        <v>0.28571428573919139</v>
      </c>
      <c r="N22" s="16">
        <f t="shared" si="5"/>
        <v>0.71428571426080889</v>
      </c>
    </row>
    <row r="23" spans="6:14" ht="18" thickBot="1" x14ac:dyDescent="0.35">
      <c r="F23" s="4">
        <v>20</v>
      </c>
      <c r="G23" s="19">
        <f>G22*$C$3+H22*$C$4</f>
        <v>0.28571428573919139</v>
      </c>
      <c r="H23" s="12">
        <f t="shared" si="1"/>
        <v>0.71428571426080889</v>
      </c>
      <c r="J23" s="11">
        <f t="shared" si="2"/>
        <v>0.28571428570432367</v>
      </c>
      <c r="K23" s="22">
        <f t="shared" si="3"/>
        <v>0.714285714295677</v>
      </c>
      <c r="M23" s="22">
        <f t="shared" si="4"/>
        <v>0.2857142857217575</v>
      </c>
      <c r="N23" s="12">
        <f t="shared" si="5"/>
        <v>0.71428571427824283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EDDF-C1C0-4634-8F0B-D1F5CAF82AAB}">
  <dimension ref="B1:AD22"/>
  <sheetViews>
    <sheetView workbookViewId="0">
      <selection activeCell="J2" sqref="J2"/>
    </sheetView>
  </sheetViews>
  <sheetFormatPr defaultRowHeight="17.399999999999999" x14ac:dyDescent="0.3"/>
  <cols>
    <col min="1" max="5" width="8.88671875" style="1"/>
    <col min="6" max="6" width="3.6640625" style="1" bestFit="1" customWidth="1"/>
    <col min="7" max="7" width="15.77734375" style="1" bestFit="1" customWidth="1"/>
    <col min="8" max="8" width="4.44140625" style="1" customWidth="1"/>
    <col min="9" max="16384" width="8.88671875" style="1"/>
  </cols>
  <sheetData>
    <row r="1" spans="2:30" ht="18" thickBot="1" x14ac:dyDescent="0.35"/>
    <row r="2" spans="2:30" ht="18" thickBot="1" x14ac:dyDescent="0.35">
      <c r="B2" s="5" t="s">
        <v>0</v>
      </c>
      <c r="C2" s="9">
        <v>0.5</v>
      </c>
      <c r="D2" s="10">
        <v>0.5</v>
      </c>
      <c r="G2" s="5" t="s">
        <v>4</v>
      </c>
      <c r="H2" s="7">
        <v>1</v>
      </c>
      <c r="J2" s="5" t="s">
        <v>5</v>
      </c>
      <c r="K2" s="29">
        <v>1</v>
      </c>
      <c r="L2" s="5">
        <v>2</v>
      </c>
      <c r="M2" s="29">
        <v>3</v>
      </c>
      <c r="N2" s="5">
        <v>4</v>
      </c>
      <c r="O2" s="29">
        <v>5</v>
      </c>
      <c r="P2" s="5">
        <v>6</v>
      </c>
      <c r="Q2" s="29">
        <v>7</v>
      </c>
      <c r="R2" s="5">
        <v>8</v>
      </c>
      <c r="S2" s="29">
        <v>9</v>
      </c>
      <c r="T2" s="5">
        <v>10</v>
      </c>
      <c r="U2" s="29">
        <v>11</v>
      </c>
      <c r="V2" s="5">
        <v>12</v>
      </c>
      <c r="W2" s="5">
        <v>13</v>
      </c>
      <c r="X2" s="29">
        <v>14</v>
      </c>
      <c r="Y2" s="5">
        <v>15</v>
      </c>
      <c r="Z2" s="29">
        <v>16</v>
      </c>
      <c r="AA2" s="5">
        <v>17</v>
      </c>
      <c r="AB2" s="29">
        <v>18</v>
      </c>
      <c r="AC2" s="5">
        <v>19</v>
      </c>
      <c r="AD2" s="7">
        <v>20</v>
      </c>
    </row>
    <row r="3" spans="2:30" ht="18" thickBot="1" x14ac:dyDescent="0.35">
      <c r="C3" s="11">
        <v>0.2</v>
      </c>
      <c r="D3" s="9">
        <v>0.8</v>
      </c>
      <c r="F3" s="2">
        <v>1</v>
      </c>
      <c r="G3" s="28">
        <f ca="1">RAND()</f>
        <v>0.59893822494908977</v>
      </c>
      <c r="H3" s="28">
        <f ca="1">IF(H2=1, (IF(G3&lt;$C$2, 1, 2)), (IF(G3&lt;$C$3, 2, 1)))</f>
        <v>2</v>
      </c>
      <c r="J3" s="5" t="s">
        <v>1</v>
      </c>
      <c r="K3" s="30">
        <v>1</v>
      </c>
      <c r="L3" s="9">
        <f ca="1">(COUNTIF($H$3:H4, 1))/(L2)</f>
        <v>0</v>
      </c>
      <c r="M3" s="30">
        <f ca="1">(COUNTIF($H$3:H5, 1))/(M2)</f>
        <v>0</v>
      </c>
      <c r="N3" s="9">
        <f ca="1">(COUNTIF($H$3:H6, 1))/(N2)</f>
        <v>0.25</v>
      </c>
      <c r="O3" s="30">
        <f ca="1">(COUNTIF($H$3:H7, 1))/(O2)</f>
        <v>0.2</v>
      </c>
      <c r="P3" s="9">
        <f ca="1">(COUNTIF($H$3:H8, 1))/(P2)</f>
        <v>0.33333333333333331</v>
      </c>
      <c r="Q3" s="30">
        <f ca="1">(COUNTIF($H$3:H9, 1))/(Q2)</f>
        <v>0.42857142857142855</v>
      </c>
      <c r="R3" s="9">
        <f ca="1">(COUNTIF($H$3:H10, 1))/(R2)</f>
        <v>0.375</v>
      </c>
      <c r="S3" s="30">
        <f ca="1">(COUNTIF($H$3:H11, 1))/(S2)</f>
        <v>0.44444444444444442</v>
      </c>
      <c r="T3" s="9">
        <f ca="1">(COUNTIF($H$3:H12, 1))/(T2)</f>
        <v>0.4</v>
      </c>
      <c r="U3" s="30">
        <f ca="1">(COUNTIF($H$3:H13, 1))/(U2)</f>
        <v>0.45454545454545453</v>
      </c>
      <c r="V3" s="9">
        <f ca="1">(COUNTIF($H$3:H14, 1))/(V2)</f>
        <v>0.5</v>
      </c>
      <c r="W3" s="9">
        <f ca="1">(COUNTIF($H$3:H15, 1))/(W2)</f>
        <v>0.53846153846153844</v>
      </c>
      <c r="X3" s="30">
        <f ca="1">(COUNTIF($H$3:H16, 1))/(X2)</f>
        <v>0.5714285714285714</v>
      </c>
      <c r="Y3" s="9">
        <f ca="1">(COUNTIF($H$3:H17, 1))/(Y2)</f>
        <v>0.53333333333333333</v>
      </c>
      <c r="Z3" s="30">
        <f ca="1">(COUNTIF($H$3:H18, 1))/(Z2)</f>
        <v>0.5625</v>
      </c>
      <c r="AA3" s="9">
        <f ca="1">(COUNTIF($H$3:H19, 1))/(AA2)</f>
        <v>0.52941176470588236</v>
      </c>
      <c r="AB3" s="30">
        <f ca="1">(COUNTIF($H$3:H20, 1))/(AB2)</f>
        <v>0.55555555555555558</v>
      </c>
      <c r="AC3" s="9">
        <f ca="1">(COUNTIF($H$3:H21, 1))/(AC2)</f>
        <v>0.52631578947368418</v>
      </c>
      <c r="AD3" s="13">
        <f ca="1">(COUNTIF($H$3:H22, 1))/(AD2)</f>
        <v>0.5</v>
      </c>
    </row>
    <row r="4" spans="2:30" ht="18" thickBot="1" x14ac:dyDescent="0.35">
      <c r="F4" s="15">
        <v>2</v>
      </c>
      <c r="G4" s="21">
        <f t="shared" ref="G4:G22" ca="1" si="0">RAND()</f>
        <v>2.647789760284458E-3</v>
      </c>
      <c r="H4" s="28">
        <f ca="1">IF(H3=1, (IF(G4&lt;$C$2, 1, 2)), (IF(G4&lt;$C$3, 2, 1)))</f>
        <v>2</v>
      </c>
      <c r="J4" s="14" t="s">
        <v>2</v>
      </c>
      <c r="K4" s="27">
        <v>0</v>
      </c>
      <c r="L4" s="22">
        <f ca="1">1-L3</f>
        <v>1</v>
      </c>
      <c r="M4" s="27">
        <f t="shared" ref="M4:AD4" ca="1" si="1">1-M3</f>
        <v>1</v>
      </c>
      <c r="N4" s="22">
        <f t="shared" ca="1" si="1"/>
        <v>0.75</v>
      </c>
      <c r="O4" s="27">
        <f t="shared" ca="1" si="1"/>
        <v>0.8</v>
      </c>
      <c r="P4" s="22">
        <f t="shared" ca="1" si="1"/>
        <v>0.66666666666666674</v>
      </c>
      <c r="Q4" s="27">
        <f t="shared" ca="1" si="1"/>
        <v>0.5714285714285714</v>
      </c>
      <c r="R4" s="22">
        <f t="shared" ca="1" si="1"/>
        <v>0.625</v>
      </c>
      <c r="S4" s="27">
        <f t="shared" ca="1" si="1"/>
        <v>0.55555555555555558</v>
      </c>
      <c r="T4" s="22">
        <f t="shared" ca="1" si="1"/>
        <v>0.6</v>
      </c>
      <c r="U4" s="27">
        <f t="shared" ca="1" si="1"/>
        <v>0.54545454545454541</v>
      </c>
      <c r="V4" s="22">
        <f t="shared" ca="1" si="1"/>
        <v>0.5</v>
      </c>
      <c r="W4" s="22">
        <f t="shared" ca="1" si="1"/>
        <v>0.46153846153846156</v>
      </c>
      <c r="X4" s="27">
        <f t="shared" ca="1" si="1"/>
        <v>0.4285714285714286</v>
      </c>
      <c r="Y4" s="22">
        <f t="shared" ca="1" si="1"/>
        <v>0.46666666666666667</v>
      </c>
      <c r="Z4" s="27">
        <f t="shared" ca="1" si="1"/>
        <v>0.4375</v>
      </c>
      <c r="AA4" s="22">
        <f t="shared" ca="1" si="1"/>
        <v>0.47058823529411764</v>
      </c>
      <c r="AB4" s="27">
        <f t="shared" ca="1" si="1"/>
        <v>0.44444444444444442</v>
      </c>
      <c r="AC4" s="22">
        <f t="shared" ca="1" si="1"/>
        <v>0.47368421052631582</v>
      </c>
      <c r="AD4" s="12">
        <f t="shared" ca="1" si="1"/>
        <v>0.5</v>
      </c>
    </row>
    <row r="5" spans="2:30" ht="18" thickBot="1" x14ac:dyDescent="0.35">
      <c r="F5" s="15">
        <v>3</v>
      </c>
      <c r="G5" s="21">
        <f t="shared" ca="1" si="0"/>
        <v>1.9377599868268147E-2</v>
      </c>
      <c r="H5" s="28">
        <f ca="1">IF(H4=1, (IF(G5&lt;$C$2, 1, 2)), (IF(G5&lt;$C$3, 2, 1)))</f>
        <v>2</v>
      </c>
    </row>
    <row r="6" spans="2:30" ht="18" thickBot="1" x14ac:dyDescent="0.35">
      <c r="F6" s="15">
        <v>4</v>
      </c>
      <c r="G6" s="21">
        <f t="shared" ca="1" si="0"/>
        <v>0.9743733412719271</v>
      </c>
      <c r="H6" s="28">
        <f ca="1">IF(H5=1, (IF(G6&lt;$C$2, 1, 2)), (IF(G6&lt;$C$3, 2, 1)))</f>
        <v>1</v>
      </c>
    </row>
    <row r="7" spans="2:30" ht="18" thickBot="1" x14ac:dyDescent="0.35">
      <c r="F7" s="15">
        <v>5</v>
      </c>
      <c r="G7" s="21">
        <f t="shared" ca="1" si="0"/>
        <v>0.74991322650013437</v>
      </c>
      <c r="H7" s="28">
        <f ca="1">IF(H6=1, (IF(G7&lt;$C$2, 1, 2)), (IF(G7&lt;$C$3, 2, 1)))</f>
        <v>2</v>
      </c>
    </row>
    <row r="8" spans="2:30" ht="18" thickBot="1" x14ac:dyDescent="0.35">
      <c r="F8" s="15">
        <v>6</v>
      </c>
      <c r="G8" s="21">
        <f t="shared" ca="1" si="0"/>
        <v>0.85203178374712663</v>
      </c>
      <c r="H8" s="28">
        <f t="shared" ref="H8:H22" ca="1" si="2">IF(H7=1, (IF(G8&lt;$C$2, 1, 2)), (IF(G8&lt;$C$3, 2, 1)))</f>
        <v>1</v>
      </c>
    </row>
    <row r="9" spans="2:30" ht="18" thickBot="1" x14ac:dyDescent="0.35">
      <c r="F9" s="15">
        <v>7</v>
      </c>
      <c r="G9" s="21">
        <f t="shared" ca="1" si="0"/>
        <v>0.18279832177083921</v>
      </c>
      <c r="H9" s="28">
        <f t="shared" ca="1" si="2"/>
        <v>1</v>
      </c>
    </row>
    <row r="10" spans="2:30" ht="18" thickBot="1" x14ac:dyDescent="0.35">
      <c r="F10" s="15">
        <v>8</v>
      </c>
      <c r="G10" s="21">
        <f t="shared" ca="1" si="0"/>
        <v>0.9028983186686943</v>
      </c>
      <c r="H10" s="28">
        <f t="shared" ca="1" si="2"/>
        <v>2</v>
      </c>
    </row>
    <row r="11" spans="2:30" ht="18" thickBot="1" x14ac:dyDescent="0.35">
      <c r="F11" s="15">
        <v>9</v>
      </c>
      <c r="G11" s="21">
        <f t="shared" ca="1" si="0"/>
        <v>0.30571259987517285</v>
      </c>
      <c r="H11" s="28">
        <f t="shared" ca="1" si="2"/>
        <v>1</v>
      </c>
      <c r="R11" s="31" t="s">
        <v>1</v>
      </c>
    </row>
    <row r="12" spans="2:30" ht="18" thickBot="1" x14ac:dyDescent="0.35">
      <c r="F12" s="15">
        <v>10</v>
      </c>
      <c r="G12" s="21">
        <f t="shared" ca="1" si="0"/>
        <v>0.95611648039198127</v>
      </c>
      <c r="H12" s="28">
        <f t="shared" ca="1" si="2"/>
        <v>2</v>
      </c>
      <c r="R12" s="32" t="s">
        <v>2</v>
      </c>
    </row>
    <row r="13" spans="2:30" ht="18" thickBot="1" x14ac:dyDescent="0.35">
      <c r="F13" s="15">
        <v>11</v>
      </c>
      <c r="G13" s="21">
        <f t="shared" ca="1" si="0"/>
        <v>0.73706640138231305</v>
      </c>
      <c r="H13" s="28">
        <f t="shared" ca="1" si="2"/>
        <v>1</v>
      </c>
    </row>
    <row r="14" spans="2:30" ht="18" thickBot="1" x14ac:dyDescent="0.35">
      <c r="F14" s="15">
        <v>12</v>
      </c>
      <c r="G14" s="21">
        <f t="shared" ca="1" si="0"/>
        <v>0.1990014418670969</v>
      </c>
      <c r="H14" s="28">
        <f t="shared" ca="1" si="2"/>
        <v>1</v>
      </c>
    </row>
    <row r="15" spans="2:30" ht="18" thickBot="1" x14ac:dyDescent="0.35">
      <c r="F15" s="15">
        <v>13</v>
      </c>
      <c r="G15" s="21">
        <f t="shared" ca="1" si="0"/>
        <v>0.41336961062455924</v>
      </c>
      <c r="H15" s="28">
        <f t="shared" ca="1" si="2"/>
        <v>1</v>
      </c>
    </row>
    <row r="16" spans="2:30" ht="18" thickBot="1" x14ac:dyDescent="0.35">
      <c r="F16" s="15">
        <v>14</v>
      </c>
      <c r="G16" s="21">
        <f t="shared" ca="1" si="0"/>
        <v>0.41907684481775087</v>
      </c>
      <c r="H16" s="28">
        <f t="shared" ca="1" si="2"/>
        <v>1</v>
      </c>
    </row>
    <row r="17" spans="6:8" ht="18" thickBot="1" x14ac:dyDescent="0.35">
      <c r="F17" s="15">
        <v>15</v>
      </c>
      <c r="G17" s="21">
        <f t="shared" ca="1" si="0"/>
        <v>0.52236314070870682</v>
      </c>
      <c r="H17" s="28">
        <f t="shared" ca="1" si="2"/>
        <v>2</v>
      </c>
    </row>
    <row r="18" spans="6:8" ht="18" thickBot="1" x14ac:dyDescent="0.35">
      <c r="F18" s="15">
        <v>16</v>
      </c>
      <c r="G18" s="21">
        <f t="shared" ca="1" si="0"/>
        <v>0.84288231782461742</v>
      </c>
      <c r="H18" s="28">
        <f t="shared" ca="1" si="2"/>
        <v>1</v>
      </c>
    </row>
    <row r="19" spans="6:8" ht="18" thickBot="1" x14ac:dyDescent="0.35">
      <c r="F19" s="15">
        <v>17</v>
      </c>
      <c r="G19" s="21">
        <f t="shared" ca="1" si="0"/>
        <v>0.87806655015317214</v>
      </c>
      <c r="H19" s="28">
        <f t="shared" ca="1" si="2"/>
        <v>2</v>
      </c>
    </row>
    <row r="20" spans="6:8" ht="18" thickBot="1" x14ac:dyDescent="0.35">
      <c r="F20" s="15">
        <v>18</v>
      </c>
      <c r="G20" s="21">
        <f t="shared" ca="1" si="0"/>
        <v>0.98036589838583044</v>
      </c>
      <c r="H20" s="28">
        <f t="shared" ca="1" si="2"/>
        <v>1</v>
      </c>
    </row>
    <row r="21" spans="6:8" ht="18" thickBot="1" x14ac:dyDescent="0.35">
      <c r="F21" s="15">
        <v>19</v>
      </c>
      <c r="G21" s="21">
        <f t="shared" ca="1" si="0"/>
        <v>0.80280345214633242</v>
      </c>
      <c r="H21" s="28">
        <f t="shared" ca="1" si="2"/>
        <v>2</v>
      </c>
    </row>
    <row r="22" spans="6:8" ht="18" thickBot="1" x14ac:dyDescent="0.35">
      <c r="F22" s="4">
        <v>20</v>
      </c>
      <c r="G22" s="22">
        <f t="shared" ca="1" si="0"/>
        <v>1.0459989645931089E-2</v>
      </c>
      <c r="H22" s="9">
        <f t="shared" ca="1" si="2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stationary_distribution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2026-05-06T10:03:15Z</dcterms:created>
  <dcterms:modified xsi:type="dcterms:W3CDTF">2026-06-23T17:56:52Z</dcterms:modified>
</cp:coreProperties>
</file>