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6E6EACBD-33BB-4995-80D5-33ED899F4F3C}" xr6:coauthVersionLast="47" xr6:coauthVersionMax="47" xr10:uidLastSave="{00000000-0000-0000-0000-000000000000}"/>
  <bookViews>
    <workbookView xWindow="552" yWindow="1104" windowWidth="15624" windowHeight="10332" xr2:uid="{12D7A3A8-5EF3-4EA4-9304-DDA1FB06C62A}"/>
  </bookViews>
  <sheets>
    <sheet name="L7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10" i="1"/>
  <c r="C10" i="1"/>
  <c r="C9" i="1"/>
  <c r="C8" i="1"/>
  <c r="E5" i="1"/>
  <c r="D5" i="1"/>
  <c r="C5" i="1"/>
  <c r="D4" i="1"/>
  <c r="C4" i="1"/>
  <c r="D9" i="1"/>
  <c r="C6" i="1"/>
  <c r="E6" i="1"/>
  <c r="D6" i="1"/>
  <c r="M4" i="1"/>
  <c r="E4" i="1"/>
  <c r="F4" i="1"/>
  <c r="G4" i="1"/>
  <c r="H4" i="1"/>
  <c r="I4" i="1"/>
  <c r="J4" i="1"/>
  <c r="K4" i="1"/>
  <c r="L4" i="1"/>
  <c r="M3" i="1"/>
  <c r="E10" i="1" l="1"/>
  <c r="F10" i="1" s="1"/>
  <c r="G10" i="1" s="1"/>
  <c r="E9" i="1"/>
  <c r="F5" i="1"/>
  <c r="H10" i="1" l="1"/>
  <c r="I10" i="1" s="1"/>
  <c r="F9" i="1"/>
  <c r="G5" i="1"/>
  <c r="F6" i="1"/>
  <c r="J10" i="1" l="1"/>
  <c r="K10" i="1" s="1"/>
  <c r="L10" i="1" s="1"/>
  <c r="G9" i="1"/>
  <c r="G6" i="1"/>
  <c r="H5" i="1"/>
  <c r="H6" i="1" l="1"/>
  <c r="H9" i="1"/>
  <c r="I5" i="1"/>
  <c r="I9" i="1" l="1"/>
  <c r="J5" i="1"/>
  <c r="I6" i="1"/>
  <c r="K5" i="1" l="1"/>
  <c r="J6" i="1"/>
  <c r="J9" i="1"/>
  <c r="L5" i="1" l="1"/>
  <c r="K9" i="1"/>
  <c r="K6" i="1"/>
  <c r="L9" i="1" l="1"/>
  <c r="L6" i="1"/>
</calcChain>
</file>

<file path=xl/sharedStrings.xml><?xml version="1.0" encoding="utf-8"?>
<sst xmlns="http://schemas.openxmlformats.org/spreadsheetml/2006/main" count="10" uniqueCount="10">
  <si>
    <t>k</t>
  </si>
  <si>
    <t>PDF(k)</t>
  </si>
  <si>
    <t>k*PDF(k)</t>
  </si>
  <si>
    <t>CDF(k)</t>
  </si>
  <si>
    <t>TDF(k)</t>
  </si>
  <si>
    <t>E(k)</t>
  </si>
  <si>
    <t>median</t>
  </si>
  <si>
    <t>sum</t>
  </si>
  <si>
    <t>mode</t>
  </si>
  <si>
    <t>sum_check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</si>
</sst>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08B85-08DE-4E25-B3C5-24DBDC5C3091}">
  <dimension ref="B2:N10"/>
  <sheetViews>
    <sheetView tabSelected="1" workbookViewId="0">
      <selection activeCell="P10" sqref="P10"/>
    </sheetView>
  </sheetViews>
  <sheetFormatPr defaultRowHeight="17.399999999999999" x14ac:dyDescent="0.3"/>
  <cols>
    <col min="1" max="1" width="8.88671875" style="1"/>
    <col min="2" max="2" width="10.6640625" style="1" bestFit="1" customWidth="1"/>
    <col min="3" max="5" width="8.88671875" style="1"/>
    <col min="6" max="6" width="14.44140625" style="1" bestFit="1" customWidth="1"/>
    <col min="7" max="7" width="13.21875" style="1" bestFit="1" customWidth="1"/>
    <col min="8" max="13" width="8.88671875" style="1"/>
    <col min="14" max="14" width="13.33203125" style="1" bestFit="1" customWidth="1"/>
    <col min="15" max="16384" width="8.88671875" style="1"/>
  </cols>
  <sheetData>
    <row r="2" spans="2:14" x14ac:dyDescent="0.3">
      <c r="B2" s="2" t="s">
        <v>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 t="s">
        <v>7</v>
      </c>
      <c r="N2" s="2" t="s">
        <v>9</v>
      </c>
    </row>
    <row r="3" spans="2:14" x14ac:dyDescent="0.3">
      <c r="B3" s="2" t="s">
        <v>1</v>
      </c>
      <c r="C3" s="3">
        <v>0.05</v>
      </c>
      <c r="D3" s="3">
        <v>0.05</v>
      </c>
      <c r="E3" s="3">
        <v>0.03</v>
      </c>
      <c r="F3" s="3">
        <v>0.05</v>
      </c>
      <c r="G3" s="3">
        <v>0.05</v>
      </c>
      <c r="H3" s="3">
        <v>7.0000000000000007E-2</v>
      </c>
      <c r="I3" s="3">
        <v>0.4</v>
      </c>
      <c r="J3" s="3">
        <v>0.2</v>
      </c>
      <c r="K3" s="3">
        <v>0.05</v>
      </c>
      <c r="L3" s="3">
        <v>0.05</v>
      </c>
      <c r="M3" s="3">
        <f>SUM(C3:L3)</f>
        <v>1</v>
      </c>
      <c r="N3" s="3" t="str">
        <f>IF(M3=1, "yes", "no")</f>
        <v>yes</v>
      </c>
    </row>
    <row r="4" spans="2:14" x14ac:dyDescent="0.3">
      <c r="B4" s="2" t="s">
        <v>2</v>
      </c>
      <c r="C4" s="3">
        <f>C2*C3</f>
        <v>0.05</v>
      </c>
      <c r="D4" s="3">
        <f>D2*D3</f>
        <v>0.1</v>
      </c>
      <c r="E4" s="3">
        <f t="shared" ref="E4:L4" si="0">E2*E3</f>
        <v>0.09</v>
      </c>
      <c r="F4" s="3">
        <f t="shared" si="0"/>
        <v>0.2</v>
      </c>
      <c r="G4" s="3">
        <f t="shared" si="0"/>
        <v>0.25</v>
      </c>
      <c r="H4" s="3">
        <f t="shared" si="0"/>
        <v>0.42000000000000004</v>
      </c>
      <c r="I4" s="3">
        <f t="shared" si="0"/>
        <v>2.8000000000000003</v>
      </c>
      <c r="J4" s="3">
        <f t="shared" si="0"/>
        <v>1.6</v>
      </c>
      <c r="K4" s="3">
        <f t="shared" si="0"/>
        <v>0.45</v>
      </c>
      <c r="L4" s="3">
        <f t="shared" si="0"/>
        <v>0.5</v>
      </c>
      <c r="M4" s="3">
        <f>SUM(C4:L4)</f>
        <v>6.46</v>
      </c>
    </row>
    <row r="5" spans="2:14" x14ac:dyDescent="0.3">
      <c r="B5" s="2" t="s">
        <v>3</v>
      </c>
      <c r="C5" s="3">
        <f>C3</f>
        <v>0.05</v>
      </c>
      <c r="D5" s="3">
        <f>C5+D3</f>
        <v>0.1</v>
      </c>
      <c r="E5" s="3">
        <f>D5+E3</f>
        <v>0.13</v>
      </c>
      <c r="F5" s="3">
        <f>E5+F3</f>
        <v>0.18</v>
      </c>
      <c r="G5" s="3">
        <f t="shared" ref="G5:L5" si="1">F5+G3</f>
        <v>0.22999999999999998</v>
      </c>
      <c r="H5" s="3">
        <f t="shared" si="1"/>
        <v>0.3</v>
      </c>
      <c r="I5" s="3">
        <f t="shared" si="1"/>
        <v>0.7</v>
      </c>
      <c r="J5" s="3">
        <f t="shared" si="1"/>
        <v>0.89999999999999991</v>
      </c>
      <c r="K5" s="3">
        <f t="shared" si="1"/>
        <v>0.95</v>
      </c>
      <c r="L5" s="3">
        <f t="shared" si="1"/>
        <v>1</v>
      </c>
      <c r="M5" s="3"/>
    </row>
    <row r="6" spans="2:14" x14ac:dyDescent="0.3">
      <c r="B6" s="2" t="s">
        <v>4</v>
      </c>
      <c r="C6" s="3">
        <f t="shared" ref="C6:L6" si="2">1-C5</f>
        <v>0.95</v>
      </c>
      <c r="D6" s="3">
        <f t="shared" si="2"/>
        <v>0.9</v>
      </c>
      <c r="E6" s="3">
        <f t="shared" si="2"/>
        <v>0.87</v>
      </c>
      <c r="F6" s="3">
        <f t="shared" si="2"/>
        <v>0.82000000000000006</v>
      </c>
      <c r="G6" s="3">
        <f t="shared" si="2"/>
        <v>0.77</v>
      </c>
      <c r="H6" s="3">
        <f t="shared" si="2"/>
        <v>0.7</v>
      </c>
      <c r="I6" s="3">
        <f t="shared" si="2"/>
        <v>0.30000000000000004</v>
      </c>
      <c r="J6" s="3">
        <f t="shared" si="2"/>
        <v>0.10000000000000009</v>
      </c>
      <c r="K6" s="3">
        <f t="shared" si="2"/>
        <v>5.0000000000000044E-2</v>
      </c>
      <c r="L6" s="3">
        <f t="shared" si="2"/>
        <v>0</v>
      </c>
      <c r="M6" s="3"/>
    </row>
    <row r="8" spans="2:14" x14ac:dyDescent="0.3">
      <c r="B8" s="2" t="s">
        <v>5</v>
      </c>
      <c r="C8" s="3">
        <f>M4</f>
        <v>6.46</v>
      </c>
    </row>
    <row r="9" spans="2:14" x14ac:dyDescent="0.3">
      <c r="B9" s="2" t="s">
        <v>8</v>
      </c>
      <c r="C9" s="1" t="str">
        <f>IF(AND(C5&gt;=0.5, C4&lt;0.5), C2, "")</f>
        <v/>
      </c>
      <c r="D9" s="1" t="str">
        <f t="shared" ref="D9:L9" si="3">IF(AND(D5&gt;=0.5, D4&lt;0.5), D2, "")</f>
        <v/>
      </c>
      <c r="E9" s="1" t="str">
        <f t="shared" si="3"/>
        <v/>
      </c>
      <c r="F9" s="1" t="str">
        <f t="shared" si="3"/>
        <v/>
      </c>
      <c r="G9" s="1" t="str">
        <f t="shared" si="3"/>
        <v/>
      </c>
      <c r="H9" s="1" t="str">
        <f t="shared" si="3"/>
        <v/>
      </c>
      <c r="I9" s="1" t="str">
        <f t="shared" si="3"/>
        <v/>
      </c>
      <c r="J9" s="1" t="str">
        <f t="shared" si="3"/>
        <v/>
      </c>
      <c r="K9" s="1">
        <f t="shared" si="3"/>
        <v>9</v>
      </c>
      <c r="L9" s="1" t="str">
        <f t="shared" si="3"/>
        <v/>
      </c>
    </row>
    <row r="10" spans="2:14" x14ac:dyDescent="0.3">
      <c r="B10" s="2" t="s">
        <v>6</v>
      </c>
      <c r="C10" s="1" t="str">
        <f>IF(AND(C5&gt;=0.5,C6&lt;0.5),C2,"")</f>
        <v/>
      </c>
      <c r="D10" s="1" t="str">
        <f>IF($C$10=0,IF(AND(E5&gt;=0.5,E6&lt;0.5),E2,""), "")</f>
        <v/>
      </c>
      <c r="E10" s="1" t="str">
        <f>IF(SUM($C$10:D10)=0,IF(AND(E5&gt;=0.5,E6&lt;0.5),E2,""), "")</f>
        <v/>
      </c>
      <c r="F10" s="1" t="str">
        <f>IF(SUM($C$10:E10)=0,IF(AND(F5&gt;=0.5,F6&lt;0.5),F2,""), "")</f>
        <v/>
      </c>
      <c r="G10" s="1" t="str">
        <f>IF(SUM($C$10:F10)=0,IF(AND(G5&gt;=0.5,G6&lt;0.5),G2,""), "")</f>
        <v/>
      </c>
      <c r="H10" s="1" t="str">
        <f>IF(SUM($C$10:G10)=0,IF(AND(H5&gt;=0.5,H6&lt;0.5),H2,""), "")</f>
        <v/>
      </c>
      <c r="I10" s="1">
        <f>IF(SUM($C$10:H10)=0,IF(AND(I5&gt;=0.5,I6&lt;0.5),I2,""), "")</f>
        <v>7</v>
      </c>
      <c r="J10" s="1" t="str">
        <f>IF(SUM($C$10:I10)=0,IF(AND(J5&gt;=0.5,J6&lt;0.5),J2,""), "")</f>
        <v/>
      </c>
      <c r="K10" s="1" t="str">
        <f>IF(SUM($C$10:J10)=0,IF(AND(K5&gt;=0.5,K6&lt;0.5),K2,""), "")</f>
        <v/>
      </c>
      <c r="L10" s="1" t="str">
        <f>IF(SUM($C$10:K10)=0,IF(AND(L5&gt;=0.5,L6&lt;0.5),L2,""), "")</f>
        <v/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2026-04-01T10:01:52Z</dcterms:created>
  <dcterms:modified xsi:type="dcterms:W3CDTF">2026-06-23T07:17:30Z</dcterms:modified>
</cp:coreProperties>
</file>