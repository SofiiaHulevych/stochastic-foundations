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FFF37E40-00DE-41A3-8AC1-A6930820B073}" xr6:coauthVersionLast="47" xr6:coauthVersionMax="47" xr10:uidLastSave="{00000000-0000-0000-0000-000000000000}"/>
  <bookViews>
    <workbookView xWindow="1452" yWindow="948" windowWidth="15624" windowHeight="10332" xr2:uid="{B7C6C786-0CC2-4779-814F-F2F8ECB8D9CD}"/>
  </bookViews>
  <sheets>
    <sheet name="HW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P15" i="1"/>
  <c r="P9" i="1"/>
  <c r="P8" i="1"/>
  <c r="Q8" i="1" l="1"/>
  <c r="R8" i="1"/>
  <c r="S8" i="1"/>
  <c r="T8" i="1"/>
  <c r="U8" i="1"/>
  <c r="V8" i="1"/>
  <c r="W8" i="1"/>
  <c r="W9" i="1" s="1"/>
  <c r="X8" i="1"/>
  <c r="X9" i="1" s="1"/>
  <c r="Y8" i="1"/>
  <c r="Y9" i="1" s="1"/>
  <c r="Z8" i="1"/>
  <c r="Q9" i="1"/>
  <c r="R9" i="1"/>
  <c r="S9" i="1"/>
  <c r="T9" i="1"/>
  <c r="U9" i="1"/>
  <c r="V9" i="1"/>
  <c r="Z9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C30" i="1"/>
  <c r="D30" i="1"/>
  <c r="E30" i="1"/>
  <c r="F30" i="1"/>
  <c r="G30" i="1"/>
  <c r="H30" i="1"/>
  <c r="I30" i="1"/>
  <c r="J30" i="1"/>
  <c r="K30" i="1"/>
  <c r="L30" i="1"/>
  <c r="C31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L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D7" i="1"/>
  <c r="E7" i="1"/>
  <c r="F7" i="1"/>
  <c r="G7" i="1"/>
  <c r="H7" i="1"/>
  <c r="I7" i="1"/>
  <c r="J7" i="1"/>
  <c r="K7" i="1"/>
  <c r="L7" i="1"/>
  <c r="C7" i="1"/>
  <c r="C3" i="1"/>
  <c r="C2" i="1"/>
  <c r="M35" i="1" l="1"/>
  <c r="M31" i="1"/>
  <c r="M30" i="1"/>
  <c r="M27" i="1"/>
  <c r="M23" i="1"/>
  <c r="M22" i="1"/>
  <c r="M19" i="1"/>
  <c r="M15" i="1"/>
  <c r="M11" i="1"/>
  <c r="M26" i="1"/>
  <c r="M18" i="1"/>
  <c r="M14" i="1"/>
  <c r="M10" i="1"/>
  <c r="M34" i="1"/>
  <c r="M7" i="1"/>
  <c r="M33" i="1"/>
  <c r="M25" i="1"/>
  <c r="M17" i="1"/>
  <c r="M29" i="1"/>
  <c r="M21" i="1"/>
  <c r="M13" i="1"/>
  <c r="M9" i="1"/>
  <c r="M36" i="1"/>
  <c r="M32" i="1"/>
  <c r="M28" i="1"/>
  <c r="M24" i="1"/>
  <c r="M20" i="1"/>
  <c r="M16" i="1"/>
  <c r="M12" i="1"/>
  <c r="M8" i="1"/>
  <c r="P7" i="1" l="1"/>
  <c r="Q7" i="1"/>
  <c r="Q10" i="1" s="1"/>
  <c r="Q11" i="1" s="1"/>
  <c r="Q12" i="1" s="1"/>
  <c r="R7" i="1"/>
  <c r="R10" i="1" s="1"/>
  <c r="R11" i="1" s="1"/>
  <c r="R12" i="1" s="1"/>
  <c r="Z7" i="1"/>
  <c r="Z10" i="1" s="1"/>
  <c r="Z11" i="1" s="1"/>
  <c r="Z12" i="1" s="1"/>
  <c r="S7" i="1"/>
  <c r="S10" i="1" s="1"/>
  <c r="S11" i="1" s="1"/>
  <c r="S12" i="1" s="1"/>
  <c r="T7" i="1"/>
  <c r="T10" i="1" s="1"/>
  <c r="T11" i="1" s="1"/>
  <c r="T12" i="1" s="1"/>
  <c r="U7" i="1"/>
  <c r="U10" i="1" s="1"/>
  <c r="U11" i="1" s="1"/>
  <c r="U12" i="1" s="1"/>
  <c r="V7" i="1"/>
  <c r="V10" i="1" s="1"/>
  <c r="V11" i="1" s="1"/>
  <c r="V12" i="1" s="1"/>
  <c r="W7" i="1"/>
  <c r="W10" i="1" s="1"/>
  <c r="W11" i="1" s="1"/>
  <c r="W12" i="1" s="1"/>
  <c r="X7" i="1"/>
  <c r="X10" i="1" s="1"/>
  <c r="X11" i="1" s="1"/>
  <c r="X12" i="1" s="1"/>
  <c r="Y7" i="1"/>
  <c r="Y10" i="1" s="1"/>
  <c r="Y11" i="1" s="1"/>
  <c r="Y12" i="1" s="1"/>
  <c r="P10" i="1" l="1"/>
  <c r="P11" i="1" s="1"/>
  <c r="P12" i="1" l="1"/>
  <c r="P14" i="1" l="1"/>
  <c r="P17" i="1" s="1"/>
</calcChain>
</file>

<file path=xl/sharedStrings.xml><?xml version="1.0" encoding="utf-8"?>
<sst xmlns="http://schemas.openxmlformats.org/spreadsheetml/2006/main" count="14" uniqueCount="14">
  <si>
    <t>A</t>
  </si>
  <si>
    <t>B</t>
  </si>
  <si>
    <t>Nj</t>
  </si>
  <si>
    <t>Pj</t>
  </si>
  <si>
    <t>NPj</t>
  </si>
  <si>
    <t>Nj-NPj</t>
  </si>
  <si>
    <t>^2</t>
  </si>
  <si>
    <t>/NPj</t>
  </si>
  <si>
    <t>df</t>
  </si>
  <si>
    <t>w</t>
  </si>
  <si>
    <t>H</t>
  </si>
  <si>
    <t>trial</t>
  </si>
  <si>
    <t>count_A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</si>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</sst>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66FF"/>
                </a:solidFill>
                <a:latin typeface="Arial Black" panose="020B0A04020102020204" pitchFamily="34" charset="0"/>
              </a:rPr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'HW11'!$P$7:$Z$7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10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3-41FB-8234-FBEFB7118391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'HW11'!$P$9:$Z$9</c:f>
              <c:numCache>
                <c:formatCode>General</c:formatCode>
                <c:ptCount val="11"/>
                <c:pt idx="0">
                  <c:v>3.1457280000000043E-3</c:v>
                </c:pt>
                <c:pt idx="1">
                  <c:v>4.7185919999999999E-2</c:v>
                </c:pt>
                <c:pt idx="2">
                  <c:v>0.31850496000000017</c:v>
                </c:pt>
                <c:pt idx="3">
                  <c:v>1.2740198400000002</c:v>
                </c:pt>
                <c:pt idx="4">
                  <c:v>3.3443020800000016</c:v>
                </c:pt>
                <c:pt idx="5">
                  <c:v>6.0197437440000021</c:v>
                </c:pt>
                <c:pt idx="6">
                  <c:v>7.5246796800000029</c:v>
                </c:pt>
                <c:pt idx="7">
                  <c:v>6.4497254400000017</c:v>
                </c:pt>
                <c:pt idx="8">
                  <c:v>3.6279705600000014</c:v>
                </c:pt>
                <c:pt idx="9">
                  <c:v>1.2093235199999994</c:v>
                </c:pt>
                <c:pt idx="10">
                  <c:v>0.181398528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3-41FB-8234-FBEFB7118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788287"/>
        <c:axId val="1125789119"/>
      </c:barChart>
      <c:catAx>
        <c:axId val="112578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25789119"/>
        <c:crosses val="autoZero"/>
        <c:auto val="1"/>
        <c:lblAlgn val="ctr"/>
        <c:lblOffset val="100"/>
        <c:noMultiLvlLbl val="0"/>
      </c:catAx>
      <c:valAx>
        <c:axId val="11257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257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441960</xdr:colOff>
      <xdr:row>12</xdr:row>
      <xdr:rowOff>205740</xdr:rowOff>
    </xdr:from>
    <xdr:to>
      <xdr:col>20</xdr:col>
      <xdr:colOff>685800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8DDE1-77E0-4219-915E-1739661F7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F2AD-84AC-4345-94B5-FD79BB57FE47}">
  <dimension ref="B1:Z36"/>
  <sheetViews>
    <sheetView tabSelected="1" topLeftCell="A3" zoomScale="70" zoomScaleNormal="70" workbookViewId="0">
      <selection activeCell="N41" sqref="N41"/>
    </sheetView>
  </sheetViews>
  <sheetFormatPr defaultRowHeight="17.399999999999999" x14ac:dyDescent="0.3"/>
  <cols>
    <col min="1" max="1" width="8.88671875" style="1"/>
    <col min="2" max="2" width="6" style="1" bestFit="1" customWidth="1"/>
    <col min="3" max="3" width="5.5546875" style="1" bestFit="1" customWidth="1"/>
    <col min="4" max="11" width="2.77734375" style="1" bestFit="1" customWidth="1"/>
    <col min="12" max="12" width="4.109375" style="1" bestFit="1" customWidth="1"/>
    <col min="13" max="13" width="10.44140625" style="1" bestFit="1" customWidth="1"/>
    <col min="14" max="14" width="8.88671875" style="1"/>
    <col min="15" max="15" width="8.21875" style="1" bestFit="1" customWidth="1"/>
    <col min="16" max="16" width="17.88671875" style="1" bestFit="1" customWidth="1"/>
    <col min="17" max="25" width="17.109375" style="1" bestFit="1" customWidth="1"/>
    <col min="26" max="26" width="17.88671875" style="1" bestFit="1" customWidth="1"/>
    <col min="27" max="16384" width="8.88671875" style="1"/>
  </cols>
  <sheetData>
    <row r="1" spans="2:26" ht="18" thickBot="1" x14ac:dyDescent="0.35"/>
    <row r="2" spans="2:26" x14ac:dyDescent="0.3">
      <c r="B2" s="3" t="s">
        <v>0</v>
      </c>
      <c r="C2" s="4">
        <f>0.6</f>
        <v>0.6</v>
      </c>
    </row>
    <row r="3" spans="2:26" ht="18" thickBot="1" x14ac:dyDescent="0.35">
      <c r="B3" s="5" t="s">
        <v>1</v>
      </c>
      <c r="C3" s="6">
        <f>1-C2</f>
        <v>0.4</v>
      </c>
    </row>
    <row r="5" spans="2:26" ht="18" thickBot="1" x14ac:dyDescent="0.35"/>
    <row r="6" spans="2:26" ht="18" thickBot="1" x14ac:dyDescent="0.35">
      <c r="B6" s="15" t="s">
        <v>11</v>
      </c>
      <c r="C6" s="3">
        <v>1</v>
      </c>
      <c r="D6" s="21">
        <v>2</v>
      </c>
      <c r="E6" s="21">
        <v>3</v>
      </c>
      <c r="F6" s="21">
        <v>4</v>
      </c>
      <c r="G6" s="21">
        <v>5</v>
      </c>
      <c r="H6" s="21">
        <v>6</v>
      </c>
      <c r="I6" s="21">
        <v>7</v>
      </c>
      <c r="J6" s="21">
        <v>8</v>
      </c>
      <c r="K6" s="21">
        <v>9</v>
      </c>
      <c r="L6" s="21">
        <v>10</v>
      </c>
      <c r="M6" s="18" t="s">
        <v>12</v>
      </c>
      <c r="P6" s="12">
        <v>0</v>
      </c>
      <c r="Q6" s="15">
        <v>1</v>
      </c>
      <c r="R6" s="13">
        <v>2</v>
      </c>
      <c r="S6" s="15">
        <v>3</v>
      </c>
      <c r="T6" s="13">
        <v>4</v>
      </c>
      <c r="U6" s="15">
        <v>5</v>
      </c>
      <c r="V6" s="13">
        <v>6</v>
      </c>
      <c r="W6" s="15">
        <v>7</v>
      </c>
      <c r="X6" s="13">
        <v>8</v>
      </c>
      <c r="Y6" s="15">
        <v>9</v>
      </c>
      <c r="Z6" s="14">
        <v>10</v>
      </c>
    </row>
    <row r="7" spans="2:26" x14ac:dyDescent="0.3">
      <c r="B7" s="18">
        <v>1</v>
      </c>
      <c r="C7" s="22">
        <f ca="1">IF(RAND()&lt;$C$2, 1, 0)</f>
        <v>1</v>
      </c>
      <c r="D7" s="22">
        <f t="shared" ref="D7:L22" ca="1" si="0">IF(RAND()&lt;$C$2, 1, 0)</f>
        <v>1</v>
      </c>
      <c r="E7" s="22">
        <f t="shared" ca="1" si="0"/>
        <v>0</v>
      </c>
      <c r="F7" s="22">
        <f t="shared" ca="1" si="0"/>
        <v>1</v>
      </c>
      <c r="G7" s="22">
        <f t="shared" ca="1" si="0"/>
        <v>1</v>
      </c>
      <c r="H7" s="22">
        <f t="shared" ca="1" si="0"/>
        <v>1</v>
      </c>
      <c r="I7" s="22">
        <f t="shared" ca="1" si="0"/>
        <v>1</v>
      </c>
      <c r="J7" s="22">
        <f t="shared" ca="1" si="0"/>
        <v>1</v>
      </c>
      <c r="K7" s="22">
        <f t="shared" ca="1" si="0"/>
        <v>1</v>
      </c>
      <c r="L7" s="22">
        <f t="shared" ca="1" si="0"/>
        <v>0</v>
      </c>
      <c r="M7" s="18">
        <f ca="1">COUNTIF(C7:L7, 1)</f>
        <v>8</v>
      </c>
      <c r="O7" s="3" t="s">
        <v>2</v>
      </c>
      <c r="P7" s="8">
        <f ca="1">COUNTIF($M$7:$M$36, P6)</f>
        <v>0</v>
      </c>
      <c r="Q7" s="16">
        <f ca="1">COUNTIF($M$7:$M$36, Q6)</f>
        <v>0</v>
      </c>
      <c r="R7" s="2">
        <f t="shared" ref="R7:Z7" ca="1" si="1">COUNTIF($M$7:$M$36, R6)</f>
        <v>1</v>
      </c>
      <c r="S7" s="16">
        <f t="shared" ca="1" si="1"/>
        <v>1</v>
      </c>
      <c r="T7" s="2">
        <f t="shared" ca="1" si="1"/>
        <v>2</v>
      </c>
      <c r="U7" s="16">
        <f t="shared" ca="1" si="1"/>
        <v>7</v>
      </c>
      <c r="V7" s="2">
        <f t="shared" ca="1" si="1"/>
        <v>3</v>
      </c>
      <c r="W7" s="16">
        <f t="shared" ca="1" si="1"/>
        <v>10</v>
      </c>
      <c r="X7" s="2">
        <f t="shared" ca="1" si="1"/>
        <v>4</v>
      </c>
      <c r="Y7" s="16">
        <f t="shared" ca="1" si="1"/>
        <v>1</v>
      </c>
      <c r="Z7" s="9">
        <f t="shared" ca="1" si="1"/>
        <v>1</v>
      </c>
    </row>
    <row r="8" spans="2:26" x14ac:dyDescent="0.3">
      <c r="B8" s="19">
        <v>2</v>
      </c>
      <c r="C8" s="2">
        <f t="shared" ref="C8:L36" ca="1" si="2">IF(RAND()&lt;$C$2, 1, 0)</f>
        <v>1</v>
      </c>
      <c r="D8" s="2">
        <f t="shared" ca="1" si="0"/>
        <v>0</v>
      </c>
      <c r="E8" s="2">
        <f t="shared" ca="1" si="0"/>
        <v>0</v>
      </c>
      <c r="F8" s="2">
        <f t="shared" ca="1" si="0"/>
        <v>0</v>
      </c>
      <c r="G8" s="2">
        <f t="shared" ca="1" si="0"/>
        <v>0</v>
      </c>
      <c r="H8" s="2">
        <f t="shared" ca="1" si="0"/>
        <v>1</v>
      </c>
      <c r="I8" s="2">
        <f t="shared" ca="1" si="0"/>
        <v>1</v>
      </c>
      <c r="J8" s="2">
        <f t="shared" ca="1" si="0"/>
        <v>0</v>
      </c>
      <c r="K8" s="2">
        <f t="shared" ca="1" si="0"/>
        <v>1</v>
      </c>
      <c r="L8" s="2">
        <f t="shared" ca="1" si="0"/>
        <v>1</v>
      </c>
      <c r="M8" s="19">
        <f t="shared" ref="M8:M36" ca="1" si="3">COUNTIF(C8:L8, 1)</f>
        <v>5</v>
      </c>
      <c r="O8" s="7" t="s">
        <v>3</v>
      </c>
      <c r="P8" s="8">
        <f>_xlfn.BINOM.DIST(P6,10, $C$2, FALSE)</f>
        <v>1.0485760000000014E-4</v>
      </c>
      <c r="Q8" s="16">
        <f t="shared" ref="Q8:Z8" si="4">_xlfn.BINOM.DIST(Q6,10, $C$2, FALSE)</f>
        <v>1.572864E-3</v>
      </c>
      <c r="R8" s="2">
        <f t="shared" si="4"/>
        <v>1.0616832000000007E-2</v>
      </c>
      <c r="S8" s="16">
        <f t="shared" si="4"/>
        <v>4.2467328000000006E-2</v>
      </c>
      <c r="T8" s="2">
        <f t="shared" si="4"/>
        <v>0.11147673600000005</v>
      </c>
      <c r="U8" s="16">
        <f t="shared" si="4"/>
        <v>0.20065812480000006</v>
      </c>
      <c r="V8" s="2">
        <f t="shared" si="4"/>
        <v>0.25082265600000009</v>
      </c>
      <c r="W8" s="16">
        <f t="shared" si="4"/>
        <v>0.21499084800000007</v>
      </c>
      <c r="X8" s="2">
        <f t="shared" si="4"/>
        <v>0.12093235200000005</v>
      </c>
      <c r="Y8" s="16">
        <f t="shared" si="4"/>
        <v>4.0310783999999981E-2</v>
      </c>
      <c r="Z8" s="9">
        <f t="shared" si="4"/>
        <v>6.0466176E-3</v>
      </c>
    </row>
    <row r="9" spans="2:26" x14ac:dyDescent="0.3">
      <c r="B9" s="19">
        <v>3</v>
      </c>
      <c r="C9" s="2">
        <f t="shared" ca="1" si="2"/>
        <v>0</v>
      </c>
      <c r="D9" s="2">
        <f t="shared" ca="1" si="0"/>
        <v>1</v>
      </c>
      <c r="E9" s="2">
        <f t="shared" ca="1" si="0"/>
        <v>1</v>
      </c>
      <c r="F9" s="2">
        <f t="shared" ca="1" si="0"/>
        <v>1</v>
      </c>
      <c r="G9" s="2">
        <f t="shared" ca="1" si="0"/>
        <v>0</v>
      </c>
      <c r="H9" s="2">
        <f t="shared" ca="1" si="0"/>
        <v>0</v>
      </c>
      <c r="I9" s="2">
        <f t="shared" ca="1" si="0"/>
        <v>0</v>
      </c>
      <c r="J9" s="2">
        <f t="shared" ca="1" si="0"/>
        <v>0</v>
      </c>
      <c r="K9" s="2">
        <f t="shared" ca="1" si="0"/>
        <v>1</v>
      </c>
      <c r="L9" s="2">
        <f t="shared" ca="1" si="0"/>
        <v>1</v>
      </c>
      <c r="M9" s="19">
        <f t="shared" ca="1" si="3"/>
        <v>5</v>
      </c>
      <c r="O9" s="7" t="s">
        <v>4</v>
      </c>
      <c r="P9" s="8">
        <f>P8*30</f>
        <v>3.1457280000000043E-3</v>
      </c>
      <c r="Q9" s="16">
        <f t="shared" ref="Q9:Z9" si="5">Q8*30</f>
        <v>4.7185919999999999E-2</v>
      </c>
      <c r="R9" s="2">
        <f t="shared" si="5"/>
        <v>0.31850496000000017</v>
      </c>
      <c r="S9" s="16">
        <f t="shared" si="5"/>
        <v>1.2740198400000002</v>
      </c>
      <c r="T9" s="2">
        <f t="shared" si="5"/>
        <v>3.3443020800000016</v>
      </c>
      <c r="U9" s="16">
        <f t="shared" si="5"/>
        <v>6.0197437440000021</v>
      </c>
      <c r="V9" s="2">
        <f t="shared" si="5"/>
        <v>7.5246796800000029</v>
      </c>
      <c r="W9" s="16">
        <f t="shared" si="5"/>
        <v>6.4497254400000017</v>
      </c>
      <c r="X9" s="2">
        <f t="shared" si="5"/>
        <v>3.6279705600000014</v>
      </c>
      <c r="Y9" s="16">
        <f t="shared" si="5"/>
        <v>1.2093235199999994</v>
      </c>
      <c r="Z9" s="9">
        <f t="shared" si="5"/>
        <v>0.181398528</v>
      </c>
    </row>
    <row r="10" spans="2:26" x14ac:dyDescent="0.3">
      <c r="B10" s="19">
        <v>4</v>
      </c>
      <c r="C10" s="2">
        <f t="shared" ca="1" si="2"/>
        <v>0</v>
      </c>
      <c r="D10" s="2">
        <f t="shared" ca="1" si="0"/>
        <v>1</v>
      </c>
      <c r="E10" s="2">
        <f t="shared" ca="1" si="0"/>
        <v>1</v>
      </c>
      <c r="F10" s="2">
        <f t="shared" ca="1" si="0"/>
        <v>1</v>
      </c>
      <c r="G10" s="2">
        <f t="shared" ca="1" si="0"/>
        <v>1</v>
      </c>
      <c r="H10" s="2">
        <f t="shared" ca="1" si="0"/>
        <v>1</v>
      </c>
      <c r="I10" s="2">
        <f t="shared" ca="1" si="0"/>
        <v>1</v>
      </c>
      <c r="J10" s="2">
        <f t="shared" ca="1" si="0"/>
        <v>1</v>
      </c>
      <c r="K10" s="2">
        <f t="shared" ca="1" si="0"/>
        <v>0</v>
      </c>
      <c r="L10" s="2">
        <f t="shared" ca="1" si="0"/>
        <v>0</v>
      </c>
      <c r="M10" s="19">
        <f t="shared" ca="1" si="3"/>
        <v>7</v>
      </c>
      <c r="O10" s="7" t="s">
        <v>5</v>
      </c>
      <c r="P10" s="8">
        <f ca="1">P7-P9</f>
        <v>-3.1457280000000043E-3</v>
      </c>
      <c r="Q10" s="16">
        <f t="shared" ref="Q10:Z10" ca="1" si="6">Q7-Q9</f>
        <v>-4.7185919999999999E-2</v>
      </c>
      <c r="R10" s="2">
        <f t="shared" ca="1" si="6"/>
        <v>0.68149503999999983</v>
      </c>
      <c r="S10" s="16">
        <f t="shared" ca="1" si="6"/>
        <v>-0.27401984000000024</v>
      </c>
      <c r="T10" s="2">
        <f t="shared" ca="1" si="6"/>
        <v>-1.3443020800000016</v>
      </c>
      <c r="U10" s="16">
        <f t="shared" ca="1" si="6"/>
        <v>0.98025625599999788</v>
      </c>
      <c r="V10" s="2">
        <f t="shared" ca="1" si="6"/>
        <v>-4.5246796800000029</v>
      </c>
      <c r="W10" s="16">
        <f t="shared" ca="1" si="6"/>
        <v>3.5502745599999983</v>
      </c>
      <c r="X10" s="2">
        <f t="shared" ca="1" si="6"/>
        <v>0.3720294399999986</v>
      </c>
      <c r="Y10" s="16">
        <f t="shared" ca="1" si="6"/>
        <v>-0.20932351999999943</v>
      </c>
      <c r="Z10" s="9">
        <f t="shared" ca="1" si="6"/>
        <v>0.818601472</v>
      </c>
    </row>
    <row r="11" spans="2:26" x14ac:dyDescent="0.3">
      <c r="B11" s="19">
        <v>5</v>
      </c>
      <c r="C11" s="2">
        <f t="shared" ca="1" si="2"/>
        <v>1</v>
      </c>
      <c r="D11" s="2">
        <f t="shared" ca="1" si="0"/>
        <v>1</v>
      </c>
      <c r="E11" s="2">
        <f t="shared" ca="1" si="0"/>
        <v>0</v>
      </c>
      <c r="F11" s="2">
        <f t="shared" ca="1" si="0"/>
        <v>0</v>
      </c>
      <c r="G11" s="2">
        <f t="shared" ca="1" si="0"/>
        <v>0</v>
      </c>
      <c r="H11" s="2">
        <f t="shared" ca="1" si="0"/>
        <v>1</v>
      </c>
      <c r="I11" s="2">
        <f t="shared" ca="1" si="0"/>
        <v>1</v>
      </c>
      <c r="J11" s="2">
        <f t="shared" ca="1" si="0"/>
        <v>1</v>
      </c>
      <c r="K11" s="2">
        <f t="shared" ca="1" si="0"/>
        <v>1</v>
      </c>
      <c r="L11" s="2">
        <f t="shared" ca="1" si="0"/>
        <v>1</v>
      </c>
      <c r="M11" s="19">
        <f t="shared" ca="1" si="3"/>
        <v>7</v>
      </c>
      <c r="O11" s="7" t="s">
        <v>6</v>
      </c>
      <c r="P11" s="8">
        <f ca="1">P10*P10</f>
        <v>9.895604649984027E-6</v>
      </c>
      <c r="Q11" s="16">
        <f t="shared" ref="Q11:Z11" ca="1" si="7">Q10*Q10</f>
        <v>2.2265110462464E-3</v>
      </c>
      <c r="R11" s="2">
        <f t="shared" ca="1" si="7"/>
        <v>0.46443548954460134</v>
      </c>
      <c r="S11" s="16">
        <f t="shared" ca="1" si="7"/>
        <v>7.5086872713625727E-2</v>
      </c>
      <c r="T11" s="2">
        <f t="shared" ca="1" si="7"/>
        <v>1.8071480822923307</v>
      </c>
      <c r="U11" s="16">
        <f t="shared" ca="1" si="7"/>
        <v>0.96090232742713344</v>
      </c>
      <c r="V11" s="2">
        <f t="shared" ca="1" si="7"/>
        <v>20.472726206604928</v>
      </c>
      <c r="W11" s="16">
        <f t="shared" ca="1" si="7"/>
        <v>12.604449451383182</v>
      </c>
      <c r="X11" s="2">
        <f t="shared" ca="1" si="7"/>
        <v>0.13840590422671256</v>
      </c>
      <c r="Y11" s="16">
        <f t="shared" ca="1" si="7"/>
        <v>4.381633602519016E-2</v>
      </c>
      <c r="Z11" s="9">
        <f t="shared" ca="1" si="7"/>
        <v>0.67010836996056677</v>
      </c>
    </row>
    <row r="12" spans="2:26" ht="18" thickBot="1" x14ac:dyDescent="0.35">
      <c r="B12" s="19">
        <v>6</v>
      </c>
      <c r="C12" s="2">
        <f t="shared" ca="1" si="2"/>
        <v>1</v>
      </c>
      <c r="D12" s="2">
        <f t="shared" ca="1" si="0"/>
        <v>1</v>
      </c>
      <c r="E12" s="2">
        <f t="shared" ca="1" si="0"/>
        <v>0</v>
      </c>
      <c r="F12" s="2">
        <f t="shared" ca="1" si="0"/>
        <v>0</v>
      </c>
      <c r="G12" s="2">
        <f t="shared" ca="1" si="0"/>
        <v>0</v>
      </c>
      <c r="H12" s="2">
        <f t="shared" ca="1" si="0"/>
        <v>1</v>
      </c>
      <c r="I12" s="2">
        <f t="shared" ca="1" si="0"/>
        <v>1</v>
      </c>
      <c r="J12" s="2">
        <f t="shared" ca="1" si="0"/>
        <v>1</v>
      </c>
      <c r="K12" s="2">
        <f t="shared" ca="1" si="0"/>
        <v>1</v>
      </c>
      <c r="L12" s="2">
        <f t="shared" ca="1" si="0"/>
        <v>1</v>
      </c>
      <c r="M12" s="19">
        <f t="shared" ca="1" si="3"/>
        <v>7</v>
      </c>
      <c r="O12" s="5" t="s">
        <v>7</v>
      </c>
      <c r="P12" s="10">
        <f ca="1">P11/P9</f>
        <v>3.1457280000000043E-3</v>
      </c>
      <c r="Q12" s="17">
        <f t="shared" ref="Q12:Z12" ca="1" si="8">Q11/Q9</f>
        <v>4.7185919999999999E-2</v>
      </c>
      <c r="R12" s="11">
        <f t="shared" ca="1" si="8"/>
        <v>1.4581734913785993</v>
      </c>
      <c r="S12" s="17">
        <f t="shared" ca="1" si="8"/>
        <v>5.8936972844650291E-2</v>
      </c>
      <c r="T12" s="11">
        <f t="shared" ca="1" si="8"/>
        <v>0.54036628242994422</v>
      </c>
      <c r="U12" s="17">
        <f t="shared" ca="1" si="8"/>
        <v>0.15962512164822362</v>
      </c>
      <c r="V12" s="11">
        <f t="shared" ca="1" si="8"/>
        <v>2.7207438824299457</v>
      </c>
      <c r="W12" s="17">
        <f t="shared" ca="1" si="8"/>
        <v>1.954261397425187</v>
      </c>
      <c r="X12" s="11">
        <f t="shared" ca="1" si="8"/>
        <v>3.81496767787202E-2</v>
      </c>
      <c r="Y12" s="17">
        <f t="shared" ca="1" si="8"/>
        <v>3.6232104396009913E-2</v>
      </c>
      <c r="Z12" s="6">
        <f t="shared" ca="1" si="8"/>
        <v>3.6941224239734005</v>
      </c>
    </row>
    <row r="13" spans="2:26" ht="18" thickBot="1" x14ac:dyDescent="0.35">
      <c r="B13" s="19">
        <v>7</v>
      </c>
      <c r="C13" s="2">
        <f t="shared" ca="1" si="2"/>
        <v>1</v>
      </c>
      <c r="D13" s="2">
        <f t="shared" ca="1" si="0"/>
        <v>0</v>
      </c>
      <c r="E13" s="2">
        <f t="shared" ca="1" si="0"/>
        <v>1</v>
      </c>
      <c r="F13" s="2">
        <f t="shared" ca="1" si="0"/>
        <v>1</v>
      </c>
      <c r="G13" s="2">
        <f t="shared" ca="1" si="0"/>
        <v>1</v>
      </c>
      <c r="H13" s="2">
        <f t="shared" ca="1" si="0"/>
        <v>0</v>
      </c>
      <c r="I13" s="2">
        <f t="shared" ca="1" si="0"/>
        <v>1</v>
      </c>
      <c r="J13" s="2">
        <f t="shared" ca="1" si="0"/>
        <v>1</v>
      </c>
      <c r="K13" s="2">
        <f t="shared" ca="1" si="0"/>
        <v>0</v>
      </c>
      <c r="L13" s="2">
        <f t="shared" ca="1" si="0"/>
        <v>1</v>
      </c>
      <c r="M13" s="19">
        <f t="shared" ca="1" si="3"/>
        <v>7</v>
      </c>
    </row>
    <row r="14" spans="2:26" x14ac:dyDescent="0.3">
      <c r="B14" s="19">
        <v>8</v>
      </c>
      <c r="C14" s="2">
        <f t="shared" ca="1" si="2"/>
        <v>0</v>
      </c>
      <c r="D14" s="2">
        <f t="shared" ca="1" si="0"/>
        <v>0</v>
      </c>
      <c r="E14" s="2">
        <f t="shared" ca="1" si="0"/>
        <v>0</v>
      </c>
      <c r="F14" s="2">
        <f t="shared" ca="1" si="0"/>
        <v>1</v>
      </c>
      <c r="G14" s="2">
        <f t="shared" ca="1" si="0"/>
        <v>1</v>
      </c>
      <c r="H14" s="2">
        <f t="shared" ca="1" si="0"/>
        <v>1</v>
      </c>
      <c r="I14" s="2">
        <f t="shared" ca="1" si="0"/>
        <v>0</v>
      </c>
      <c r="J14" s="2">
        <f t="shared" ca="1" si="0"/>
        <v>1</v>
      </c>
      <c r="K14" s="2">
        <f t="shared" ca="1" si="0"/>
        <v>0</v>
      </c>
      <c r="L14" s="2">
        <f t="shared" ca="1" si="0"/>
        <v>1</v>
      </c>
      <c r="M14" s="19">
        <f t="shared" ca="1" si="3"/>
        <v>5</v>
      </c>
      <c r="O14" s="18" t="s">
        <v>10</v>
      </c>
      <c r="P14" s="23">
        <f ca="1">SUM(P12:Z12)</f>
        <v>10.710943001304681</v>
      </c>
    </row>
    <row r="15" spans="2:26" x14ac:dyDescent="0.3">
      <c r="B15" s="19">
        <v>9</v>
      </c>
      <c r="C15" s="2">
        <f t="shared" ca="1" si="2"/>
        <v>0</v>
      </c>
      <c r="D15" s="2">
        <f t="shared" ca="1" si="0"/>
        <v>0</v>
      </c>
      <c r="E15" s="2">
        <f t="shared" ca="1" si="0"/>
        <v>1</v>
      </c>
      <c r="F15" s="2">
        <f t="shared" ca="1" si="0"/>
        <v>1</v>
      </c>
      <c r="G15" s="2">
        <f t="shared" ca="1" si="0"/>
        <v>0</v>
      </c>
      <c r="H15" s="2">
        <f t="shared" ca="1" si="0"/>
        <v>1</v>
      </c>
      <c r="I15" s="2">
        <f t="shared" ca="1" si="0"/>
        <v>1</v>
      </c>
      <c r="J15" s="2">
        <f t="shared" ca="1" si="0"/>
        <v>1</v>
      </c>
      <c r="K15" s="2">
        <f t="shared" ca="1" si="0"/>
        <v>0</v>
      </c>
      <c r="L15" s="2">
        <f t="shared" ca="1" si="0"/>
        <v>0</v>
      </c>
      <c r="M15" s="19">
        <f t="shared" ca="1" si="3"/>
        <v>5</v>
      </c>
      <c r="O15" s="19" t="s">
        <v>8</v>
      </c>
      <c r="P15" s="16">
        <f>11-1-0</f>
        <v>10</v>
      </c>
    </row>
    <row r="16" spans="2:26" x14ac:dyDescent="0.3">
      <c r="B16" s="19">
        <v>10</v>
      </c>
      <c r="C16" s="2">
        <f t="shared" ca="1" si="2"/>
        <v>0</v>
      </c>
      <c r="D16" s="2">
        <f t="shared" ca="1" si="0"/>
        <v>0</v>
      </c>
      <c r="E16" s="2">
        <f t="shared" ca="1" si="0"/>
        <v>1</v>
      </c>
      <c r="F16" s="2">
        <f t="shared" ca="1" si="0"/>
        <v>1</v>
      </c>
      <c r="G16" s="2">
        <f t="shared" ca="1" si="0"/>
        <v>0</v>
      </c>
      <c r="H16" s="2">
        <f t="shared" ca="1" si="0"/>
        <v>1</v>
      </c>
      <c r="I16" s="2">
        <f t="shared" ca="1" si="0"/>
        <v>1</v>
      </c>
      <c r="J16" s="2">
        <f t="shared" ca="1" si="0"/>
        <v>1</v>
      </c>
      <c r="K16" s="2">
        <f t="shared" ca="1" si="0"/>
        <v>1</v>
      </c>
      <c r="L16" s="2">
        <f t="shared" ca="1" si="0"/>
        <v>0</v>
      </c>
      <c r="M16" s="19">
        <f t="shared" ca="1" si="3"/>
        <v>6</v>
      </c>
      <c r="O16" s="19" t="s">
        <v>9</v>
      </c>
      <c r="P16" s="16">
        <f>_xlfn.CHISQ.INV.RT(0.05,P15)</f>
        <v>18.307038053275146</v>
      </c>
    </row>
    <row r="17" spans="2:16" ht="18" thickBot="1" x14ac:dyDescent="0.35">
      <c r="B17" s="19">
        <v>11</v>
      </c>
      <c r="C17" s="2">
        <f t="shared" ca="1" si="2"/>
        <v>1</v>
      </c>
      <c r="D17" s="2">
        <f t="shared" ca="1" si="0"/>
        <v>0</v>
      </c>
      <c r="E17" s="2">
        <f t="shared" ca="1" si="0"/>
        <v>0</v>
      </c>
      <c r="F17" s="2">
        <f t="shared" ca="1" si="0"/>
        <v>0</v>
      </c>
      <c r="G17" s="2">
        <f t="shared" ca="1" si="0"/>
        <v>0</v>
      </c>
      <c r="H17" s="2">
        <f t="shared" ca="1" si="0"/>
        <v>1</v>
      </c>
      <c r="I17" s="2">
        <f t="shared" ca="1" si="0"/>
        <v>1</v>
      </c>
      <c r="J17" s="2">
        <f t="shared" ca="1" si="0"/>
        <v>1</v>
      </c>
      <c r="K17" s="2">
        <f t="shared" ca="1" si="0"/>
        <v>0</v>
      </c>
      <c r="L17" s="2">
        <f t="shared" ca="1" si="0"/>
        <v>0</v>
      </c>
      <c r="M17" s="19">
        <f t="shared" ca="1" si="3"/>
        <v>4</v>
      </c>
      <c r="O17" s="20" t="s">
        <v>13</v>
      </c>
      <c r="P17" s="17" t="str">
        <f ca="1">IF(P14&lt;=P16,"rejected", "not rejected")</f>
        <v>rejected</v>
      </c>
    </row>
    <row r="18" spans="2:16" x14ac:dyDescent="0.3">
      <c r="B18" s="19">
        <v>12</v>
      </c>
      <c r="C18" s="2">
        <f t="shared" ca="1" si="2"/>
        <v>1</v>
      </c>
      <c r="D18" s="2">
        <f t="shared" ca="1" si="0"/>
        <v>1</v>
      </c>
      <c r="E18" s="2">
        <f t="shared" ca="1" si="0"/>
        <v>1</v>
      </c>
      <c r="F18" s="2">
        <f t="shared" ca="1" si="0"/>
        <v>1</v>
      </c>
      <c r="G18" s="2">
        <f t="shared" ca="1" si="0"/>
        <v>1</v>
      </c>
      <c r="H18" s="2">
        <f t="shared" ca="1" si="0"/>
        <v>1</v>
      </c>
      <c r="I18" s="2">
        <f t="shared" ca="1" si="0"/>
        <v>1</v>
      </c>
      <c r="J18" s="2">
        <f t="shared" ca="1" si="0"/>
        <v>1</v>
      </c>
      <c r="K18" s="2">
        <f t="shared" ca="1" si="0"/>
        <v>1</v>
      </c>
      <c r="L18" s="2">
        <f t="shared" ca="1" si="0"/>
        <v>1</v>
      </c>
      <c r="M18" s="19">
        <f t="shared" ca="1" si="3"/>
        <v>10</v>
      </c>
    </row>
    <row r="19" spans="2:16" x14ac:dyDescent="0.3">
      <c r="B19" s="19">
        <v>13</v>
      </c>
      <c r="C19" s="2">
        <f t="shared" ca="1" si="2"/>
        <v>0</v>
      </c>
      <c r="D19" s="2">
        <f t="shared" ca="1" si="0"/>
        <v>1</v>
      </c>
      <c r="E19" s="2">
        <f t="shared" ca="1" si="0"/>
        <v>1</v>
      </c>
      <c r="F19" s="2">
        <f t="shared" ca="1" si="0"/>
        <v>1</v>
      </c>
      <c r="G19" s="2">
        <f t="shared" ca="1" si="0"/>
        <v>1</v>
      </c>
      <c r="H19" s="2">
        <f t="shared" ca="1" si="0"/>
        <v>1</v>
      </c>
      <c r="I19" s="2">
        <f t="shared" ca="1" si="0"/>
        <v>1</v>
      </c>
      <c r="J19" s="2">
        <f t="shared" ca="1" si="0"/>
        <v>0</v>
      </c>
      <c r="K19" s="2">
        <f t="shared" ca="1" si="0"/>
        <v>1</v>
      </c>
      <c r="L19" s="2">
        <f t="shared" ca="1" si="0"/>
        <v>1</v>
      </c>
      <c r="M19" s="19">
        <f t="shared" ca="1" si="3"/>
        <v>8</v>
      </c>
    </row>
    <row r="20" spans="2:16" x14ac:dyDescent="0.3">
      <c r="B20" s="19">
        <v>14</v>
      </c>
      <c r="C20" s="2">
        <f t="shared" ca="1" si="2"/>
        <v>1</v>
      </c>
      <c r="D20" s="2">
        <f t="shared" ca="1" si="0"/>
        <v>1</v>
      </c>
      <c r="E20" s="2">
        <f t="shared" ca="1" si="0"/>
        <v>1</v>
      </c>
      <c r="F20" s="2">
        <f t="shared" ca="1" si="0"/>
        <v>1</v>
      </c>
      <c r="G20" s="2">
        <f t="shared" ca="1" si="0"/>
        <v>1</v>
      </c>
      <c r="H20" s="2">
        <f t="shared" ca="1" si="0"/>
        <v>0</v>
      </c>
      <c r="I20" s="2">
        <f t="shared" ca="1" si="0"/>
        <v>1</v>
      </c>
      <c r="J20" s="2">
        <f t="shared" ca="1" si="0"/>
        <v>1</v>
      </c>
      <c r="K20" s="2">
        <f t="shared" ca="1" si="0"/>
        <v>1</v>
      </c>
      <c r="L20" s="2">
        <f t="shared" ca="1" si="0"/>
        <v>0</v>
      </c>
      <c r="M20" s="19">
        <f t="shared" ca="1" si="3"/>
        <v>8</v>
      </c>
    </row>
    <row r="21" spans="2:16" x14ac:dyDescent="0.3">
      <c r="B21" s="19">
        <v>15</v>
      </c>
      <c r="C21" s="2">
        <f t="shared" ca="1" si="2"/>
        <v>1</v>
      </c>
      <c r="D21" s="2">
        <f t="shared" ca="1" si="0"/>
        <v>0</v>
      </c>
      <c r="E21" s="2">
        <f t="shared" ca="1" si="0"/>
        <v>1</v>
      </c>
      <c r="F21" s="2">
        <f t="shared" ca="1" si="0"/>
        <v>1</v>
      </c>
      <c r="G21" s="2">
        <f t="shared" ca="1" si="0"/>
        <v>1</v>
      </c>
      <c r="H21" s="2">
        <f t="shared" ca="1" si="0"/>
        <v>1</v>
      </c>
      <c r="I21" s="2">
        <f t="shared" ca="1" si="0"/>
        <v>1</v>
      </c>
      <c r="J21" s="2">
        <f t="shared" ca="1" si="0"/>
        <v>1</v>
      </c>
      <c r="K21" s="2">
        <f t="shared" ca="1" si="0"/>
        <v>1</v>
      </c>
      <c r="L21" s="2">
        <f t="shared" ca="1" si="0"/>
        <v>1</v>
      </c>
      <c r="M21" s="19">
        <f t="shared" ca="1" si="3"/>
        <v>9</v>
      </c>
    </row>
    <row r="22" spans="2:16" x14ac:dyDescent="0.3">
      <c r="B22" s="19">
        <v>16</v>
      </c>
      <c r="C22" s="2">
        <f t="shared" ca="1" si="2"/>
        <v>1</v>
      </c>
      <c r="D22" s="2">
        <f t="shared" ca="1" si="0"/>
        <v>1</v>
      </c>
      <c r="E22" s="2">
        <f t="shared" ca="1" si="0"/>
        <v>0</v>
      </c>
      <c r="F22" s="2">
        <f t="shared" ca="1" si="0"/>
        <v>1</v>
      </c>
      <c r="G22" s="2">
        <f t="shared" ca="1" si="0"/>
        <v>0</v>
      </c>
      <c r="H22" s="2">
        <f t="shared" ca="1" si="0"/>
        <v>1</v>
      </c>
      <c r="I22" s="2">
        <f t="shared" ca="1" si="0"/>
        <v>0</v>
      </c>
      <c r="J22" s="2">
        <f t="shared" ca="1" si="0"/>
        <v>1</v>
      </c>
      <c r="K22" s="2">
        <f t="shared" ca="1" si="0"/>
        <v>1</v>
      </c>
      <c r="L22" s="2">
        <f t="shared" ca="1" si="0"/>
        <v>1</v>
      </c>
      <c r="M22" s="19">
        <f t="shared" ca="1" si="3"/>
        <v>7</v>
      </c>
    </row>
    <row r="23" spans="2:16" x14ac:dyDescent="0.3">
      <c r="B23" s="19">
        <v>17</v>
      </c>
      <c r="C23" s="2">
        <f t="shared" ca="1" si="2"/>
        <v>0</v>
      </c>
      <c r="D23" s="2">
        <f t="shared" ca="1" si="2"/>
        <v>0</v>
      </c>
      <c r="E23" s="2">
        <f t="shared" ca="1" si="2"/>
        <v>0</v>
      </c>
      <c r="F23" s="2">
        <f t="shared" ca="1" si="2"/>
        <v>1</v>
      </c>
      <c r="G23" s="2">
        <f t="shared" ca="1" si="2"/>
        <v>1</v>
      </c>
      <c r="H23" s="2">
        <f t="shared" ca="1" si="2"/>
        <v>1</v>
      </c>
      <c r="I23" s="2">
        <f t="shared" ca="1" si="2"/>
        <v>1</v>
      </c>
      <c r="J23" s="2">
        <f t="shared" ca="1" si="2"/>
        <v>1</v>
      </c>
      <c r="K23" s="2">
        <f t="shared" ca="1" si="2"/>
        <v>0</v>
      </c>
      <c r="L23" s="2">
        <f t="shared" ca="1" si="2"/>
        <v>1</v>
      </c>
      <c r="M23" s="19">
        <f t="shared" ca="1" si="3"/>
        <v>6</v>
      </c>
    </row>
    <row r="24" spans="2:16" x14ac:dyDescent="0.3">
      <c r="B24" s="19">
        <v>18</v>
      </c>
      <c r="C24" s="2">
        <f t="shared" ca="1" si="2"/>
        <v>0</v>
      </c>
      <c r="D24" s="2">
        <f t="shared" ca="1" si="2"/>
        <v>0</v>
      </c>
      <c r="E24" s="2">
        <f t="shared" ca="1" si="2"/>
        <v>0</v>
      </c>
      <c r="F24" s="2">
        <f t="shared" ca="1" si="2"/>
        <v>0</v>
      </c>
      <c r="G24" s="2">
        <f t="shared" ca="1" si="2"/>
        <v>1</v>
      </c>
      <c r="H24" s="2">
        <f t="shared" ca="1" si="2"/>
        <v>1</v>
      </c>
      <c r="I24" s="2">
        <f t="shared" ca="1" si="2"/>
        <v>1</v>
      </c>
      <c r="J24" s="2">
        <f t="shared" ca="1" si="2"/>
        <v>0</v>
      </c>
      <c r="K24" s="2">
        <f t="shared" ca="1" si="2"/>
        <v>0</v>
      </c>
      <c r="L24" s="2">
        <f t="shared" ca="1" si="2"/>
        <v>0</v>
      </c>
      <c r="M24" s="19">
        <f t="shared" ca="1" si="3"/>
        <v>3</v>
      </c>
    </row>
    <row r="25" spans="2:16" x14ac:dyDescent="0.3">
      <c r="B25" s="19">
        <v>19</v>
      </c>
      <c r="C25" s="2">
        <f t="shared" ca="1" si="2"/>
        <v>1</v>
      </c>
      <c r="D25" s="2">
        <f t="shared" ca="1" si="2"/>
        <v>0</v>
      </c>
      <c r="E25" s="2">
        <f t="shared" ca="1" si="2"/>
        <v>1</v>
      </c>
      <c r="F25" s="2">
        <f t="shared" ca="1" si="2"/>
        <v>1</v>
      </c>
      <c r="G25" s="2">
        <f t="shared" ca="1" si="2"/>
        <v>1</v>
      </c>
      <c r="H25" s="2">
        <f t="shared" ca="1" si="2"/>
        <v>0</v>
      </c>
      <c r="I25" s="2">
        <f t="shared" ca="1" si="2"/>
        <v>1</v>
      </c>
      <c r="J25" s="2">
        <f t="shared" ca="1" si="2"/>
        <v>0</v>
      </c>
      <c r="K25" s="2">
        <f t="shared" ca="1" si="2"/>
        <v>1</v>
      </c>
      <c r="L25" s="2">
        <f t="shared" ca="1" si="2"/>
        <v>1</v>
      </c>
      <c r="M25" s="19">
        <f t="shared" ca="1" si="3"/>
        <v>7</v>
      </c>
    </row>
    <row r="26" spans="2:16" x14ac:dyDescent="0.3">
      <c r="B26" s="19">
        <v>20</v>
      </c>
      <c r="C26" s="2">
        <f t="shared" ca="1" si="2"/>
        <v>0</v>
      </c>
      <c r="D26" s="2">
        <f t="shared" ca="1" si="2"/>
        <v>1</v>
      </c>
      <c r="E26" s="2">
        <f t="shared" ca="1" si="2"/>
        <v>0</v>
      </c>
      <c r="F26" s="2">
        <f t="shared" ca="1" si="2"/>
        <v>1</v>
      </c>
      <c r="G26" s="2">
        <f t="shared" ca="1" si="2"/>
        <v>0</v>
      </c>
      <c r="H26" s="2">
        <f t="shared" ca="1" si="2"/>
        <v>0</v>
      </c>
      <c r="I26" s="2">
        <f t="shared" ca="1" si="2"/>
        <v>1</v>
      </c>
      <c r="J26" s="2">
        <f t="shared" ca="1" si="2"/>
        <v>1</v>
      </c>
      <c r="K26" s="2">
        <f t="shared" ca="1" si="2"/>
        <v>0</v>
      </c>
      <c r="L26" s="2">
        <f t="shared" ca="1" si="2"/>
        <v>1</v>
      </c>
      <c r="M26" s="19">
        <f t="shared" ca="1" si="3"/>
        <v>5</v>
      </c>
    </row>
    <row r="27" spans="2:16" x14ac:dyDescent="0.3">
      <c r="B27" s="19">
        <v>21</v>
      </c>
      <c r="C27" s="2">
        <f t="shared" ca="1" si="2"/>
        <v>1</v>
      </c>
      <c r="D27" s="2">
        <f t="shared" ca="1" si="2"/>
        <v>1</v>
      </c>
      <c r="E27" s="2">
        <f t="shared" ca="1" si="2"/>
        <v>0</v>
      </c>
      <c r="F27" s="2">
        <f t="shared" ca="1" si="2"/>
        <v>1</v>
      </c>
      <c r="G27" s="2">
        <f t="shared" ca="1" si="2"/>
        <v>1</v>
      </c>
      <c r="H27" s="2">
        <f t="shared" ca="1" si="2"/>
        <v>1</v>
      </c>
      <c r="I27" s="2">
        <f t="shared" ca="1" si="2"/>
        <v>0</v>
      </c>
      <c r="J27" s="2">
        <f t="shared" ca="1" si="2"/>
        <v>1</v>
      </c>
      <c r="K27" s="2">
        <f t="shared" ca="1" si="2"/>
        <v>1</v>
      </c>
      <c r="L27" s="2">
        <f t="shared" ca="1" si="2"/>
        <v>0</v>
      </c>
      <c r="M27" s="19">
        <f t="shared" ca="1" si="3"/>
        <v>7</v>
      </c>
    </row>
    <row r="28" spans="2:16" x14ac:dyDescent="0.3">
      <c r="B28" s="19">
        <v>22</v>
      </c>
      <c r="C28" s="2">
        <f t="shared" ca="1" si="2"/>
        <v>0</v>
      </c>
      <c r="D28" s="2">
        <f t="shared" ca="1" si="2"/>
        <v>0</v>
      </c>
      <c r="E28" s="2">
        <f t="shared" ca="1" si="2"/>
        <v>1</v>
      </c>
      <c r="F28" s="2">
        <f t="shared" ca="1" si="2"/>
        <v>0</v>
      </c>
      <c r="G28" s="2">
        <f t="shared" ca="1" si="2"/>
        <v>0</v>
      </c>
      <c r="H28" s="2">
        <f t="shared" ca="1" si="2"/>
        <v>0</v>
      </c>
      <c r="I28" s="2">
        <f t="shared" ca="1" si="2"/>
        <v>1</v>
      </c>
      <c r="J28" s="2">
        <f t="shared" ca="1" si="2"/>
        <v>0</v>
      </c>
      <c r="K28" s="2">
        <f t="shared" ca="1" si="2"/>
        <v>0</v>
      </c>
      <c r="L28" s="2">
        <f t="shared" ca="1" si="2"/>
        <v>0</v>
      </c>
      <c r="M28" s="19">
        <f t="shared" ca="1" si="3"/>
        <v>2</v>
      </c>
    </row>
    <row r="29" spans="2:16" x14ac:dyDescent="0.3">
      <c r="B29" s="19">
        <v>23</v>
      </c>
      <c r="C29" s="2">
        <f t="shared" ca="1" si="2"/>
        <v>1</v>
      </c>
      <c r="D29" s="2">
        <f t="shared" ca="1" si="2"/>
        <v>0</v>
      </c>
      <c r="E29" s="2">
        <f t="shared" ca="1" si="2"/>
        <v>1</v>
      </c>
      <c r="F29" s="2">
        <f t="shared" ca="1" si="2"/>
        <v>1</v>
      </c>
      <c r="G29" s="2">
        <f t="shared" ca="1" si="2"/>
        <v>1</v>
      </c>
      <c r="H29" s="2">
        <f t="shared" ca="1" si="2"/>
        <v>0</v>
      </c>
      <c r="I29" s="2">
        <f t="shared" ca="1" si="2"/>
        <v>1</v>
      </c>
      <c r="J29" s="2">
        <f t="shared" ca="1" si="2"/>
        <v>1</v>
      </c>
      <c r="K29" s="2">
        <f t="shared" ca="1" si="2"/>
        <v>1</v>
      </c>
      <c r="L29" s="2">
        <f t="shared" ca="1" si="2"/>
        <v>0</v>
      </c>
      <c r="M29" s="19">
        <f t="shared" ca="1" si="3"/>
        <v>7</v>
      </c>
    </row>
    <row r="30" spans="2:16" x14ac:dyDescent="0.3">
      <c r="B30" s="19">
        <v>24</v>
      </c>
      <c r="C30" s="2">
        <f t="shared" ca="1" si="2"/>
        <v>1</v>
      </c>
      <c r="D30" s="2">
        <f t="shared" ca="1" si="2"/>
        <v>1</v>
      </c>
      <c r="E30" s="2">
        <f t="shared" ca="1" si="2"/>
        <v>1</v>
      </c>
      <c r="F30" s="2">
        <f t="shared" ca="1" si="2"/>
        <v>0</v>
      </c>
      <c r="G30" s="2">
        <f t="shared" ca="1" si="2"/>
        <v>1</v>
      </c>
      <c r="H30" s="2">
        <f t="shared" ca="1" si="2"/>
        <v>1</v>
      </c>
      <c r="I30" s="2">
        <f t="shared" ca="1" si="2"/>
        <v>0</v>
      </c>
      <c r="J30" s="2">
        <f t="shared" ca="1" si="2"/>
        <v>1</v>
      </c>
      <c r="K30" s="2">
        <f t="shared" ca="1" si="2"/>
        <v>1</v>
      </c>
      <c r="L30" s="2">
        <f t="shared" ca="1" si="2"/>
        <v>1</v>
      </c>
      <c r="M30" s="19">
        <f t="shared" ca="1" si="3"/>
        <v>8</v>
      </c>
    </row>
    <row r="31" spans="2:16" x14ac:dyDescent="0.3">
      <c r="B31" s="19">
        <v>25</v>
      </c>
      <c r="C31" s="2">
        <f t="shared" ca="1" si="2"/>
        <v>1</v>
      </c>
      <c r="D31" s="2">
        <f t="shared" ca="1" si="2"/>
        <v>0</v>
      </c>
      <c r="E31" s="2">
        <f t="shared" ca="1" si="2"/>
        <v>1</v>
      </c>
      <c r="F31" s="2">
        <f t="shared" ca="1" si="2"/>
        <v>1</v>
      </c>
      <c r="G31" s="2">
        <f t="shared" ca="1" si="2"/>
        <v>1</v>
      </c>
      <c r="H31" s="2">
        <f t="shared" ca="1" si="2"/>
        <v>0</v>
      </c>
      <c r="I31" s="2">
        <f t="shared" ca="1" si="2"/>
        <v>1</v>
      </c>
      <c r="J31" s="2">
        <f t="shared" ca="1" si="2"/>
        <v>0</v>
      </c>
      <c r="K31" s="2">
        <f t="shared" ca="1" si="2"/>
        <v>0</v>
      </c>
      <c r="L31" s="2">
        <f t="shared" ca="1" si="2"/>
        <v>0</v>
      </c>
      <c r="M31" s="19">
        <f t="shared" ca="1" si="3"/>
        <v>5</v>
      </c>
    </row>
    <row r="32" spans="2:16" x14ac:dyDescent="0.3">
      <c r="B32" s="19">
        <v>26</v>
      </c>
      <c r="C32" s="2">
        <f t="shared" ca="1" si="2"/>
        <v>1</v>
      </c>
      <c r="D32" s="2">
        <f t="shared" ca="1" si="2"/>
        <v>0</v>
      </c>
      <c r="E32" s="2">
        <f t="shared" ca="1" si="2"/>
        <v>0</v>
      </c>
      <c r="F32" s="2">
        <f t="shared" ca="1" si="2"/>
        <v>1</v>
      </c>
      <c r="G32" s="2">
        <f t="shared" ca="1" si="2"/>
        <v>1</v>
      </c>
      <c r="H32" s="2">
        <f t="shared" ca="1" si="2"/>
        <v>0</v>
      </c>
      <c r="I32" s="2">
        <f t="shared" ca="1" si="2"/>
        <v>1</v>
      </c>
      <c r="J32" s="2">
        <f t="shared" ca="1" si="2"/>
        <v>1</v>
      </c>
      <c r="K32" s="2">
        <f t="shared" ca="1" si="2"/>
        <v>1</v>
      </c>
      <c r="L32" s="2">
        <f t="shared" ca="1" si="2"/>
        <v>1</v>
      </c>
      <c r="M32" s="19">
        <f t="shared" ca="1" si="3"/>
        <v>7</v>
      </c>
    </row>
    <row r="33" spans="2:13" x14ac:dyDescent="0.3">
      <c r="B33" s="19">
        <v>27</v>
      </c>
      <c r="C33" s="2">
        <f t="shared" ca="1" si="2"/>
        <v>1</v>
      </c>
      <c r="D33" s="2">
        <f t="shared" ca="1" si="2"/>
        <v>1</v>
      </c>
      <c r="E33" s="2">
        <f t="shared" ca="1" si="2"/>
        <v>1</v>
      </c>
      <c r="F33" s="2">
        <f t="shared" ca="1" si="2"/>
        <v>1</v>
      </c>
      <c r="G33" s="2">
        <f t="shared" ca="1" si="2"/>
        <v>0</v>
      </c>
      <c r="H33" s="2">
        <f t="shared" ca="1" si="2"/>
        <v>1</v>
      </c>
      <c r="I33" s="2">
        <f t="shared" ca="1" si="2"/>
        <v>0</v>
      </c>
      <c r="J33" s="2">
        <f t="shared" ca="1" si="2"/>
        <v>0</v>
      </c>
      <c r="K33" s="2">
        <f t="shared" ca="1" si="2"/>
        <v>1</v>
      </c>
      <c r="L33" s="2">
        <f t="shared" ca="1" si="2"/>
        <v>1</v>
      </c>
      <c r="M33" s="19">
        <f t="shared" ca="1" si="3"/>
        <v>7</v>
      </c>
    </row>
    <row r="34" spans="2:13" x14ac:dyDescent="0.3">
      <c r="B34" s="19">
        <v>28</v>
      </c>
      <c r="C34" s="2">
        <f t="shared" ca="1" si="2"/>
        <v>0</v>
      </c>
      <c r="D34" s="2">
        <f t="shared" ca="1" si="2"/>
        <v>0</v>
      </c>
      <c r="E34" s="2">
        <f t="shared" ca="1" si="2"/>
        <v>1</v>
      </c>
      <c r="F34" s="2">
        <f t="shared" ca="1" si="2"/>
        <v>1</v>
      </c>
      <c r="G34" s="2">
        <f t="shared" ca="1" si="2"/>
        <v>0</v>
      </c>
      <c r="H34" s="2">
        <f t="shared" ca="1" si="2"/>
        <v>0</v>
      </c>
      <c r="I34" s="2">
        <f t="shared" ca="1" si="2"/>
        <v>1</v>
      </c>
      <c r="J34" s="2">
        <f t="shared" ca="1" si="2"/>
        <v>1</v>
      </c>
      <c r="K34" s="2">
        <f t="shared" ca="1" si="2"/>
        <v>0</v>
      </c>
      <c r="L34" s="2">
        <f t="shared" ca="1" si="2"/>
        <v>0</v>
      </c>
      <c r="M34" s="19">
        <f t="shared" ca="1" si="3"/>
        <v>4</v>
      </c>
    </row>
    <row r="35" spans="2:13" x14ac:dyDescent="0.3">
      <c r="B35" s="19">
        <v>29</v>
      </c>
      <c r="C35" s="2">
        <f t="shared" ca="1" si="2"/>
        <v>1</v>
      </c>
      <c r="D35" s="2">
        <f t="shared" ca="1" si="2"/>
        <v>1</v>
      </c>
      <c r="E35" s="2">
        <f t="shared" ca="1" si="2"/>
        <v>1</v>
      </c>
      <c r="F35" s="2">
        <f t="shared" ca="1" si="2"/>
        <v>1</v>
      </c>
      <c r="G35" s="2">
        <f t="shared" ca="1" si="2"/>
        <v>0</v>
      </c>
      <c r="H35" s="2">
        <f t="shared" ca="1" si="2"/>
        <v>0</v>
      </c>
      <c r="I35" s="2">
        <f t="shared" ca="1" si="2"/>
        <v>0</v>
      </c>
      <c r="J35" s="2">
        <f t="shared" ca="1" si="2"/>
        <v>1</v>
      </c>
      <c r="K35" s="2">
        <f t="shared" ca="1" si="2"/>
        <v>0</v>
      </c>
      <c r="L35" s="2">
        <f t="shared" ca="1" si="2"/>
        <v>0</v>
      </c>
      <c r="M35" s="19">
        <f t="shared" ca="1" si="3"/>
        <v>5</v>
      </c>
    </row>
    <row r="36" spans="2:13" ht="18" thickBot="1" x14ac:dyDescent="0.35">
      <c r="B36" s="20">
        <v>30</v>
      </c>
      <c r="C36" s="11">
        <f t="shared" ca="1" si="2"/>
        <v>1</v>
      </c>
      <c r="D36" s="11">
        <f t="shared" ca="1" si="2"/>
        <v>1</v>
      </c>
      <c r="E36" s="11">
        <f t="shared" ca="1" si="2"/>
        <v>0</v>
      </c>
      <c r="F36" s="11">
        <f t="shared" ca="1" si="2"/>
        <v>0</v>
      </c>
      <c r="G36" s="11">
        <f t="shared" ca="1" si="2"/>
        <v>1</v>
      </c>
      <c r="H36" s="11">
        <f t="shared" ca="1" si="2"/>
        <v>1</v>
      </c>
      <c r="I36" s="11">
        <f t="shared" ca="1" si="2"/>
        <v>1</v>
      </c>
      <c r="J36" s="11">
        <f t="shared" ca="1" si="2"/>
        <v>1</v>
      </c>
      <c r="K36" s="11">
        <f t="shared" ca="1" si="2"/>
        <v>0</v>
      </c>
      <c r="L36" s="11">
        <f t="shared" ca="1" si="2"/>
        <v>0</v>
      </c>
      <c r="M36" s="20">
        <f t="shared" ca="1" si="3"/>
        <v>6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2026-04-29T13:39:29Z</dcterms:created>
  <dcterms:modified xsi:type="dcterms:W3CDTF">2026-06-22T12:05:59Z</dcterms:modified>
</cp:coreProperties>
</file>