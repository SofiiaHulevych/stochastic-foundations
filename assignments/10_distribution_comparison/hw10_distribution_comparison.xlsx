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stochastic-foundations\"/>
    </mc:Choice>
  </mc:AlternateContent>
  <xr:revisionPtr revIDLastSave="0" documentId="8_{2B68B350-EFBD-4727-95D2-532118FC6CDC}" xr6:coauthVersionLast="47" xr6:coauthVersionMax="47" xr10:uidLastSave="{00000000-0000-0000-0000-000000000000}"/>
  <bookViews>
    <workbookView xWindow="1452" yWindow="948" windowWidth="15624" windowHeight="10332" xr2:uid="{2B239971-C14C-4444-9F0B-A8945E67AB1A}"/>
  </bookViews>
  <sheets>
    <sheet name="HW10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M4" i="1" l="1"/>
  <c r="AM5" i="1"/>
  <c r="AM6" i="1"/>
  <c r="AM7" i="1"/>
  <c r="AM8" i="1"/>
  <c r="AM9" i="1"/>
  <c r="AM10" i="1"/>
  <c r="AN10" i="1" s="1"/>
  <c r="AM11" i="1"/>
  <c r="AN11" i="1" s="1"/>
  <c r="AM12" i="1"/>
  <c r="AN12" i="1" s="1"/>
  <c r="AM13" i="1"/>
  <c r="AM14" i="1"/>
  <c r="AM15" i="1"/>
  <c r="AM16" i="1"/>
  <c r="AM17" i="1"/>
  <c r="AM18" i="1"/>
  <c r="AN18" i="1" s="1"/>
  <c r="AM19" i="1"/>
  <c r="AN19" i="1" s="1"/>
  <c r="AM20" i="1"/>
  <c r="AN20" i="1" s="1"/>
  <c r="AM21" i="1"/>
  <c r="AM22" i="1"/>
  <c r="AM23" i="1"/>
  <c r="AM24" i="1"/>
  <c r="AM25" i="1"/>
  <c r="AM26" i="1"/>
  <c r="AN26" i="1" s="1"/>
  <c r="AM27" i="1"/>
  <c r="AN27" i="1" s="1"/>
  <c r="AM28" i="1"/>
  <c r="AM29" i="1"/>
  <c r="AM30" i="1"/>
  <c r="AM31" i="1"/>
  <c r="AM32" i="1"/>
  <c r="AM33" i="1"/>
  <c r="AM34" i="1"/>
  <c r="AN34" i="1" s="1"/>
  <c r="AM35" i="1"/>
  <c r="AN35" i="1" s="1"/>
  <c r="AM36" i="1"/>
  <c r="AM37" i="1"/>
  <c r="AM38" i="1"/>
  <c r="AM39" i="1"/>
  <c r="AM40" i="1"/>
  <c r="AM41" i="1"/>
  <c r="AM42" i="1"/>
  <c r="AN42" i="1" s="1"/>
  <c r="AM43" i="1"/>
  <c r="AN43" i="1" s="1"/>
  <c r="AN3" i="1"/>
  <c r="AM3" i="1"/>
  <c r="AN4" i="1"/>
  <c r="AN5" i="1"/>
  <c r="AN6" i="1"/>
  <c r="AN7" i="1"/>
  <c r="AN8" i="1"/>
  <c r="AN9" i="1"/>
  <c r="AN13" i="1"/>
  <c r="AN14" i="1"/>
  <c r="AN15" i="1"/>
  <c r="AN16" i="1"/>
  <c r="AN17" i="1"/>
  <c r="AN21" i="1"/>
  <c r="AN22" i="1"/>
  <c r="AN23" i="1"/>
  <c r="AN24" i="1"/>
  <c r="AN25" i="1"/>
  <c r="AN28" i="1"/>
  <c r="AN29" i="1"/>
  <c r="AN30" i="1"/>
  <c r="AN31" i="1"/>
  <c r="AN32" i="1"/>
  <c r="AN33" i="1"/>
  <c r="AN36" i="1"/>
  <c r="AN37" i="1"/>
  <c r="AN38" i="1"/>
  <c r="AN39" i="1"/>
  <c r="AN40" i="1"/>
  <c r="AN41" i="1"/>
  <c r="AU3" i="1"/>
  <c r="AT3" i="1"/>
  <c r="AQ3" i="1"/>
  <c r="AR3" i="1" s="1"/>
  <c r="AP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3" i="1"/>
  <c r="AI3" i="1"/>
  <c r="AH3" i="1"/>
  <c r="AE3" i="1"/>
  <c r="AF3" i="1" s="1"/>
  <c r="AD3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3" i="1"/>
  <c r="W3" i="1"/>
  <c r="V3" i="1"/>
  <c r="S3" i="1"/>
  <c r="R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3" i="1"/>
  <c r="T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3" i="1"/>
  <c r="H3" i="1"/>
  <c r="K3" i="1" s="1"/>
  <c r="F3" i="1"/>
  <c r="G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3" i="1"/>
  <c r="J3" i="1" l="1"/>
</calcChain>
</file>

<file path=xl/sharedStrings.xml><?xml version="1.0" encoding="utf-8"?>
<sst xmlns="http://schemas.openxmlformats.org/spreadsheetml/2006/main" count="36" uniqueCount="12">
  <si>
    <t>k</t>
  </si>
  <si>
    <t>EX</t>
  </si>
  <si>
    <t>DX</t>
  </si>
  <si>
    <t>c*sigma</t>
  </si>
  <si>
    <t>interval min</t>
  </si>
  <si>
    <t>interval max</t>
  </si>
  <si>
    <t>poisson</t>
  </si>
  <si>
    <t>uniform</t>
  </si>
  <si>
    <t>in_interval</t>
  </si>
  <si>
    <t>std_dev</t>
  </si>
  <si>
    <t>binomial</t>
  </si>
  <si>
    <t>geometric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</si>
</sst>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Arial Black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  <fill>
      <patternFill patternType="solid">
        <fgColor rgb="FFFFCCFF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66FF"/>
                </a:solidFill>
                <a:latin typeface="Arial Black" panose="020B0A04020102020204" pitchFamily="34" charset="0"/>
              </a:rPr>
              <a:t>uniform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'HW10'!$B$3:$B$43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'HW10'!$C$3:$C$43</c:f>
              <c:numCache>
                <c:formatCode>General</c:formatCode>
                <c:ptCount val="41"/>
                <c:pt idx="0">
                  <c:v>2.4390243902439025E-2</c:v>
                </c:pt>
                <c:pt idx="1">
                  <c:v>2.4390243902439025E-2</c:v>
                </c:pt>
                <c:pt idx="2">
                  <c:v>2.4390243902439025E-2</c:v>
                </c:pt>
                <c:pt idx="3">
                  <c:v>2.4390243902439025E-2</c:v>
                </c:pt>
                <c:pt idx="4">
                  <c:v>2.4390243902439025E-2</c:v>
                </c:pt>
                <c:pt idx="5">
                  <c:v>2.4390243902439025E-2</c:v>
                </c:pt>
                <c:pt idx="6">
                  <c:v>2.4390243902439025E-2</c:v>
                </c:pt>
                <c:pt idx="7">
                  <c:v>2.4390243902439025E-2</c:v>
                </c:pt>
                <c:pt idx="8">
                  <c:v>2.4390243902439025E-2</c:v>
                </c:pt>
                <c:pt idx="9">
                  <c:v>2.4390243902439025E-2</c:v>
                </c:pt>
                <c:pt idx="10">
                  <c:v>2.4390243902439025E-2</c:v>
                </c:pt>
                <c:pt idx="11">
                  <c:v>2.4390243902439025E-2</c:v>
                </c:pt>
                <c:pt idx="12">
                  <c:v>2.4390243902439025E-2</c:v>
                </c:pt>
                <c:pt idx="13">
                  <c:v>2.4390243902439025E-2</c:v>
                </c:pt>
                <c:pt idx="14">
                  <c:v>2.4390243902439025E-2</c:v>
                </c:pt>
                <c:pt idx="15">
                  <c:v>2.4390243902439025E-2</c:v>
                </c:pt>
                <c:pt idx="16">
                  <c:v>2.4390243902439025E-2</c:v>
                </c:pt>
                <c:pt idx="17">
                  <c:v>2.4390243902439025E-2</c:v>
                </c:pt>
                <c:pt idx="18">
                  <c:v>2.4390243902439025E-2</c:v>
                </c:pt>
                <c:pt idx="19">
                  <c:v>2.4390243902439025E-2</c:v>
                </c:pt>
                <c:pt idx="20">
                  <c:v>2.4390243902439025E-2</c:v>
                </c:pt>
                <c:pt idx="21">
                  <c:v>2.4390243902439025E-2</c:v>
                </c:pt>
                <c:pt idx="22">
                  <c:v>2.4390243902439025E-2</c:v>
                </c:pt>
                <c:pt idx="23">
                  <c:v>2.4390243902439025E-2</c:v>
                </c:pt>
                <c:pt idx="24">
                  <c:v>2.4390243902439025E-2</c:v>
                </c:pt>
                <c:pt idx="25">
                  <c:v>2.4390243902439025E-2</c:v>
                </c:pt>
                <c:pt idx="26">
                  <c:v>2.4390243902439025E-2</c:v>
                </c:pt>
                <c:pt idx="27">
                  <c:v>2.4390243902439025E-2</c:v>
                </c:pt>
                <c:pt idx="28">
                  <c:v>2.4390243902439025E-2</c:v>
                </c:pt>
                <c:pt idx="29">
                  <c:v>2.4390243902439025E-2</c:v>
                </c:pt>
                <c:pt idx="30">
                  <c:v>2.4390243902439025E-2</c:v>
                </c:pt>
                <c:pt idx="31">
                  <c:v>2.4390243902439025E-2</c:v>
                </c:pt>
                <c:pt idx="32">
                  <c:v>2.4390243902439025E-2</c:v>
                </c:pt>
                <c:pt idx="33">
                  <c:v>2.4390243902439025E-2</c:v>
                </c:pt>
                <c:pt idx="34">
                  <c:v>2.4390243902439025E-2</c:v>
                </c:pt>
                <c:pt idx="35">
                  <c:v>2.4390243902439025E-2</c:v>
                </c:pt>
                <c:pt idx="36">
                  <c:v>2.4390243902439025E-2</c:v>
                </c:pt>
                <c:pt idx="37">
                  <c:v>2.4390243902439025E-2</c:v>
                </c:pt>
                <c:pt idx="38">
                  <c:v>2.4390243902439025E-2</c:v>
                </c:pt>
                <c:pt idx="39">
                  <c:v>2.4390243902439025E-2</c:v>
                </c:pt>
                <c:pt idx="40">
                  <c:v>2.4390243902439025E-2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D0-4013-B1AE-DAB1F63683C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'HW10'!$B$3:$B$43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'HW10'!$D$3:$D$43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2.4390243902439025E-2</c:v>
                </c:pt>
                <c:pt idx="10">
                  <c:v>2.4390243902439025E-2</c:v>
                </c:pt>
                <c:pt idx="11">
                  <c:v>2.4390243902439025E-2</c:v>
                </c:pt>
                <c:pt idx="12">
                  <c:v>2.4390243902439025E-2</c:v>
                </c:pt>
                <c:pt idx="13">
                  <c:v>2.4390243902439025E-2</c:v>
                </c:pt>
                <c:pt idx="14">
                  <c:v>2.4390243902439025E-2</c:v>
                </c:pt>
                <c:pt idx="15">
                  <c:v>2.4390243902439025E-2</c:v>
                </c:pt>
                <c:pt idx="16">
                  <c:v>2.4390243902439025E-2</c:v>
                </c:pt>
                <c:pt idx="17">
                  <c:v>2.4390243902439025E-2</c:v>
                </c:pt>
                <c:pt idx="18">
                  <c:v>2.4390243902439025E-2</c:v>
                </c:pt>
                <c:pt idx="19">
                  <c:v>2.4390243902439025E-2</c:v>
                </c:pt>
                <c:pt idx="20">
                  <c:v>2.4390243902439025E-2</c:v>
                </c:pt>
                <c:pt idx="21">
                  <c:v>2.4390243902439025E-2</c:v>
                </c:pt>
                <c:pt idx="22">
                  <c:v>2.4390243902439025E-2</c:v>
                </c:pt>
                <c:pt idx="23">
                  <c:v>2.4390243902439025E-2</c:v>
                </c:pt>
                <c:pt idx="24">
                  <c:v>2.4390243902439025E-2</c:v>
                </c:pt>
                <c:pt idx="25">
                  <c:v>2.4390243902439025E-2</c:v>
                </c:pt>
                <c:pt idx="26">
                  <c:v>2.4390243902439025E-2</c:v>
                </c:pt>
                <c:pt idx="27">
                  <c:v>2.4390243902439025E-2</c:v>
                </c:pt>
                <c:pt idx="28">
                  <c:v>2.4390243902439025E-2</c:v>
                </c:pt>
                <c:pt idx="29">
                  <c:v>2.4390243902439025E-2</c:v>
                </c:pt>
                <c:pt idx="30">
                  <c:v>2.4390243902439025E-2</c:v>
                </c:pt>
                <c:pt idx="31">
                  <c:v>2.4390243902439025E-2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D0-4013-B1AE-DAB1F6368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3812831"/>
        <c:axId val="823813247"/>
      </c:barChart>
      <c:catAx>
        <c:axId val="823812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23813247"/>
        <c:crosses val="autoZero"/>
        <c:auto val="1"/>
        <c:lblAlgn val="ctr"/>
        <c:lblOffset val="100"/>
        <c:noMultiLvlLbl val="0"/>
      </c:catAx>
      <c:valAx>
        <c:axId val="82381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238128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66FF"/>
                </a:solidFill>
                <a:latin typeface="Arial Black" panose="020B0A04020102020204" pitchFamily="34" charset="0"/>
              </a:rPr>
              <a:t>binomial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'HW10'!$N$3:$N$43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'HW10'!$O$3:$O$43</c:f>
              <c:numCache>
                <c:formatCode>General</c:formatCode>
                <c:ptCount val="41"/>
                <c:pt idx="0">
                  <c:v>9.0949470177292824E-13</c:v>
                </c:pt>
                <c:pt idx="1">
                  <c:v>3.6379788070917149E-11</c:v>
                </c:pt>
                <c:pt idx="2">
                  <c:v>7.0940586738288651E-10</c:v>
                </c:pt>
                <c:pt idx="3">
                  <c:v>8.9858076535164896E-9</c:v>
                </c:pt>
                <c:pt idx="4">
                  <c:v>8.3118720795027925E-8</c:v>
                </c:pt>
                <c:pt idx="5">
                  <c:v>5.9845478972420139E-7</c:v>
                </c:pt>
                <c:pt idx="6">
                  <c:v>3.4909862733911799E-6</c:v>
                </c:pt>
                <c:pt idx="7">
                  <c:v>1.6956219042185785E-5</c:v>
                </c:pt>
                <c:pt idx="8">
                  <c:v>6.9944403549015798E-5</c:v>
                </c:pt>
                <c:pt idx="9">
                  <c:v>2.4869121261872281E-4</c:v>
                </c:pt>
                <c:pt idx="10">
                  <c:v>7.7094275911804278E-4</c:v>
                </c:pt>
                <c:pt idx="11">
                  <c:v>2.1025711612310239E-3</c:v>
                </c:pt>
                <c:pt idx="12">
                  <c:v>5.0812136396416489E-3</c:v>
                </c:pt>
                <c:pt idx="13">
                  <c:v>1.094415245461278E-2</c:v>
                </c:pt>
                <c:pt idx="14">
                  <c:v>2.1106579733896052E-2</c:v>
                </c:pt>
                <c:pt idx="15">
                  <c:v>3.6584738205419853E-2</c:v>
                </c:pt>
                <c:pt idx="16">
                  <c:v>5.7163653445968521E-2</c:v>
                </c:pt>
                <c:pt idx="17">
                  <c:v>8.07016283943085E-2</c:v>
                </c:pt>
                <c:pt idx="18">
                  <c:v>0.10311874739272751</c:v>
                </c:pt>
                <c:pt idx="19">
                  <c:v>0.11940065487578974</c:v>
                </c:pt>
                <c:pt idx="20">
                  <c:v>0.12537068761957929</c:v>
                </c:pt>
                <c:pt idx="21">
                  <c:v>0.11940065487578974</c:v>
                </c:pt>
                <c:pt idx="22">
                  <c:v>0.10311874739272751</c:v>
                </c:pt>
                <c:pt idx="23">
                  <c:v>8.07016283943085E-2</c:v>
                </c:pt>
                <c:pt idx="24">
                  <c:v>5.7163653445968521E-2</c:v>
                </c:pt>
                <c:pt idx="25">
                  <c:v>3.6584738205419853E-2</c:v>
                </c:pt>
                <c:pt idx="26">
                  <c:v>2.1106579733896052E-2</c:v>
                </c:pt>
                <c:pt idx="27">
                  <c:v>1.094415245461278E-2</c:v>
                </c:pt>
                <c:pt idx="28">
                  <c:v>5.0812136396416489E-3</c:v>
                </c:pt>
                <c:pt idx="29">
                  <c:v>2.1025711612310239E-3</c:v>
                </c:pt>
                <c:pt idx="30">
                  <c:v>7.7094275911804278E-4</c:v>
                </c:pt>
                <c:pt idx="31">
                  <c:v>2.4869121261872286E-4</c:v>
                </c:pt>
                <c:pt idx="32">
                  <c:v>6.9944403549015798E-5</c:v>
                </c:pt>
                <c:pt idx="33">
                  <c:v>1.6956219042185755E-5</c:v>
                </c:pt>
                <c:pt idx="34">
                  <c:v>3.490986273391174E-6</c:v>
                </c:pt>
                <c:pt idx="35">
                  <c:v>5.9845478972420139E-7</c:v>
                </c:pt>
                <c:pt idx="36">
                  <c:v>8.3118720795027925E-8</c:v>
                </c:pt>
                <c:pt idx="37">
                  <c:v>8.9858076535164896E-9</c:v>
                </c:pt>
                <c:pt idx="38">
                  <c:v>7.0940586738288651E-10</c:v>
                </c:pt>
                <c:pt idx="39">
                  <c:v>3.6379788070917149E-11</c:v>
                </c:pt>
                <c:pt idx="40">
                  <c:v>9.0949470177292824E-13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5-43C1-AB75-FB50B529D33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'HW10'!$N$3:$N$43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'HW10'!$P$3:$P$43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8.07016283943085E-2</c:v>
                </c:pt>
                <c:pt idx="18">
                  <c:v>0.10311874739272751</c:v>
                </c:pt>
                <c:pt idx="19">
                  <c:v>0.11940065487578974</c:v>
                </c:pt>
                <c:pt idx="20">
                  <c:v>0.12537068761957929</c:v>
                </c:pt>
                <c:pt idx="21">
                  <c:v>0.11940065487578974</c:v>
                </c:pt>
                <c:pt idx="22">
                  <c:v>0.10311874739272751</c:v>
                </c:pt>
                <c:pt idx="23">
                  <c:v>8.07016283943085E-2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F5-43C1-AB75-FB50B529D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4775311"/>
        <c:axId val="974775727"/>
      </c:barChart>
      <c:catAx>
        <c:axId val="974775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974775727"/>
        <c:crosses val="autoZero"/>
        <c:auto val="1"/>
        <c:lblAlgn val="ctr"/>
        <c:lblOffset val="100"/>
        <c:noMultiLvlLbl val="0"/>
      </c:catAx>
      <c:valAx>
        <c:axId val="97477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974775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FF66FF"/>
                </a:solidFill>
                <a:latin typeface="Arial Black" panose="020B0A04020102020204" pitchFamily="34" charset="0"/>
              </a:rPr>
              <a:t>poisson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'HW10'!$Z$3:$Z$43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'HW10'!$AA$3:$AA$43</c:f>
              <c:numCache>
                <c:formatCode>General</c:formatCode>
                <c:ptCount val="41"/>
                <c:pt idx="0">
                  <c:v>2.0611536224385579E-9</c:v>
                </c:pt>
                <c:pt idx="1">
                  <c:v>4.1223072448771152E-8</c:v>
                </c:pt>
                <c:pt idx="2">
                  <c:v>4.1223072448771121E-7</c:v>
                </c:pt>
                <c:pt idx="3">
                  <c:v>2.7482048299180789E-6</c:v>
                </c:pt>
                <c:pt idx="4">
                  <c:v>1.3741024149590403E-5</c:v>
                </c:pt>
                <c:pt idx="5">
                  <c:v>5.4964096598361591E-5</c:v>
                </c:pt>
                <c:pt idx="6">
                  <c:v>1.8321365532787196E-4</c:v>
                </c:pt>
                <c:pt idx="7">
                  <c:v>5.2346758665106302E-4</c:v>
                </c:pt>
                <c:pt idx="8">
                  <c:v>1.3086689666276553E-3</c:v>
                </c:pt>
                <c:pt idx="9">
                  <c:v>2.9081532591725681E-3</c:v>
                </c:pt>
                <c:pt idx="10">
                  <c:v>5.8163065183451353E-3</c:v>
                </c:pt>
                <c:pt idx="11">
                  <c:v>1.0575102760627515E-2</c:v>
                </c:pt>
                <c:pt idx="12">
                  <c:v>1.7625171267712545E-2</c:v>
                </c:pt>
                <c:pt idx="13">
                  <c:v>2.7115648104173135E-2</c:v>
                </c:pt>
                <c:pt idx="14">
                  <c:v>3.8736640148818745E-2</c:v>
                </c:pt>
                <c:pt idx="15">
                  <c:v>5.1648853531758354E-2</c:v>
                </c:pt>
                <c:pt idx="16">
                  <c:v>6.4561066914697929E-2</c:v>
                </c:pt>
                <c:pt idx="17">
                  <c:v>7.595419637023286E-2</c:v>
                </c:pt>
                <c:pt idx="18">
                  <c:v>8.4393551522480972E-2</c:v>
                </c:pt>
                <c:pt idx="19">
                  <c:v>8.8835317392085208E-2</c:v>
                </c:pt>
                <c:pt idx="20">
                  <c:v>8.8835317392085222E-2</c:v>
                </c:pt>
                <c:pt idx="21">
                  <c:v>8.4605064182938283E-2</c:v>
                </c:pt>
                <c:pt idx="22">
                  <c:v>7.6913694711762098E-2</c:v>
                </c:pt>
                <c:pt idx="23">
                  <c:v>6.6881473662401839E-2</c:v>
                </c:pt>
                <c:pt idx="24">
                  <c:v>5.5734561385334863E-2</c:v>
                </c:pt>
                <c:pt idx="25">
                  <c:v>4.4587649108267881E-2</c:v>
                </c:pt>
                <c:pt idx="26">
                  <c:v>3.4298191621744509E-2</c:v>
                </c:pt>
                <c:pt idx="27">
                  <c:v>2.5406067867958917E-2</c:v>
                </c:pt>
                <c:pt idx="28">
                  <c:v>1.8147191334256366E-2</c:v>
                </c:pt>
                <c:pt idx="29">
                  <c:v>1.2515304368452655E-2</c:v>
                </c:pt>
                <c:pt idx="30">
                  <c:v>8.3435362456351133E-3</c:v>
                </c:pt>
                <c:pt idx="31">
                  <c:v>5.3829266100871558E-3</c:v>
                </c:pt>
                <c:pt idx="32">
                  <c:v>3.3643291313044709E-3</c:v>
                </c:pt>
                <c:pt idx="33">
                  <c:v>2.0389873523057505E-3</c:v>
                </c:pt>
                <c:pt idx="34">
                  <c:v>1.199404324885734E-3</c:v>
                </c:pt>
                <c:pt idx="35">
                  <c:v>6.8537389993470344E-4</c:v>
                </c:pt>
                <c:pt idx="36">
                  <c:v>3.8076327774150232E-4</c:v>
                </c:pt>
                <c:pt idx="37">
                  <c:v>2.0581798796837891E-4</c:v>
                </c:pt>
                <c:pt idx="38">
                  <c:v>1.0832525682546335E-4</c:v>
                </c:pt>
                <c:pt idx="39">
                  <c:v>5.5551413756647715E-5</c:v>
                </c:pt>
                <c:pt idx="40">
                  <c:v>2.7775706878323834E-5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C8-4862-9731-4168B3FB895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'HW10'!$Z$3:$Z$43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'HW10'!$AB$3:$AB$43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6.4561066914697929E-2</c:v>
                </c:pt>
                <c:pt idx="17">
                  <c:v>7.595419637023286E-2</c:v>
                </c:pt>
                <c:pt idx="18">
                  <c:v>8.4393551522480972E-2</c:v>
                </c:pt>
                <c:pt idx="19">
                  <c:v>8.8835317392085208E-2</c:v>
                </c:pt>
                <c:pt idx="20">
                  <c:v>8.8835317392085222E-2</c:v>
                </c:pt>
                <c:pt idx="21">
                  <c:v>8.4605064182938283E-2</c:v>
                </c:pt>
                <c:pt idx="22">
                  <c:v>7.6913694711762098E-2</c:v>
                </c:pt>
                <c:pt idx="23">
                  <c:v>6.6881473662401839E-2</c:v>
                </c:pt>
                <c:pt idx="24">
                  <c:v>5.5734561385334863E-2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C8-4862-9731-4168B3FB89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0631023"/>
        <c:axId val="1130628943"/>
      </c:barChart>
      <c:catAx>
        <c:axId val="1130631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30628943"/>
        <c:crosses val="autoZero"/>
        <c:auto val="1"/>
        <c:lblAlgn val="ctr"/>
        <c:lblOffset val="100"/>
        <c:noMultiLvlLbl val="0"/>
      </c:catAx>
      <c:valAx>
        <c:axId val="113062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30631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FF66FF"/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r>
              <a:rPr lang="en-US" b="1">
                <a:solidFill>
                  <a:srgbClr val="FF66FF"/>
                </a:solidFill>
                <a:latin typeface="Arial Black" panose="020B0A04020102020204" pitchFamily="34" charset="0"/>
              </a:rPr>
              <a:t>geometric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FF66FF"/>
              </a:solidFill>
              <a:latin typeface="Arial Black" panose="020B0A04020102020204" pitchFamily="34" charset="0"/>
              <a:ea typeface="+mn-ea"/>
              <a:cs typeface="+mn-cs"/>
            </a:defRPr>
          </a:pPr>
          <a:endParaRPr lang="uk-U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'HW10'!$AL$3:$AL$43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'HW10'!$AM$3:$AM$43</c:f>
              <c:numCache>
                <c:formatCode>General</c:formatCode>
                <c:ptCount val="41"/>
                <c:pt idx="0">
                  <c:v>4.7619047619047616E-2</c:v>
                </c:pt>
                <c:pt idx="1">
                  <c:v>4.5351473922902487E-2</c:v>
                </c:pt>
                <c:pt idx="2">
                  <c:v>4.3191879926573799E-2</c:v>
                </c:pt>
                <c:pt idx="3">
                  <c:v>4.1135123739594097E-2</c:v>
                </c:pt>
                <c:pt idx="4">
                  <c:v>3.9176308323422941E-2</c:v>
                </c:pt>
                <c:pt idx="5">
                  <c:v>3.7310769831831375E-2</c:v>
                </c:pt>
                <c:pt idx="6">
                  <c:v>3.5534066506506069E-2</c:v>
                </c:pt>
                <c:pt idx="7">
                  <c:v>3.3841968101434347E-2</c:v>
                </c:pt>
                <c:pt idx="8">
                  <c:v>3.2230445810889859E-2</c:v>
                </c:pt>
                <c:pt idx="9">
                  <c:v>3.0695662677037959E-2</c:v>
                </c:pt>
                <c:pt idx="10">
                  <c:v>2.9233964454321859E-2</c:v>
                </c:pt>
                <c:pt idx="11">
                  <c:v>2.7841870908877964E-2</c:v>
                </c:pt>
                <c:pt idx="12">
                  <c:v>2.6516067532264726E-2</c:v>
                </c:pt>
                <c:pt idx="13">
                  <c:v>2.5253397649775928E-2</c:v>
                </c:pt>
                <c:pt idx="14">
                  <c:v>2.4050854904548502E-2</c:v>
                </c:pt>
                <c:pt idx="15">
                  <c:v>2.2905576099570002E-2</c:v>
                </c:pt>
                <c:pt idx="16">
                  <c:v>2.1814834380542859E-2</c:v>
                </c:pt>
                <c:pt idx="17">
                  <c:v>2.077603274337415E-2</c:v>
                </c:pt>
                <c:pt idx="18">
                  <c:v>1.9786697850832525E-2</c:v>
                </c:pt>
                <c:pt idx="19">
                  <c:v>1.8844474143650022E-2</c:v>
                </c:pt>
                <c:pt idx="20">
                  <c:v>1.794711823204764E-2</c:v>
                </c:pt>
                <c:pt idx="21">
                  <c:v>1.7092493554331081E-2</c:v>
                </c:pt>
                <c:pt idx="22">
                  <c:v>1.6278565289839127E-2</c:v>
                </c:pt>
                <c:pt idx="23">
                  <c:v>1.55033955141325E-2</c:v>
                </c:pt>
                <c:pt idx="24">
                  <c:v>1.4765138584888095E-2</c:v>
                </c:pt>
                <c:pt idx="25">
                  <c:v>1.4062036747512472E-2</c:v>
                </c:pt>
                <c:pt idx="26">
                  <c:v>1.3392415950011876E-2</c:v>
                </c:pt>
                <c:pt idx="27">
                  <c:v>1.2754681857154167E-2</c:v>
                </c:pt>
                <c:pt idx="28">
                  <c:v>1.214731605443254E-2</c:v>
                </c:pt>
                <c:pt idx="29">
                  <c:v>1.1568872432792894E-2</c:v>
                </c:pt>
                <c:pt idx="30">
                  <c:v>1.1017973745517041E-2</c:v>
                </c:pt>
                <c:pt idx="31">
                  <c:v>1.0493308329063851E-2</c:v>
                </c:pt>
                <c:pt idx="32">
                  <c:v>9.9936269800608088E-3</c:v>
                </c:pt>
                <c:pt idx="33">
                  <c:v>9.5177399810102929E-3</c:v>
                </c:pt>
                <c:pt idx="34">
                  <c:v>9.0645142676288506E-3</c:v>
                </c:pt>
                <c:pt idx="35">
                  <c:v>8.6328707310750954E-3</c:v>
                </c:pt>
                <c:pt idx="36">
                  <c:v>8.2217816486429476E-3</c:v>
                </c:pt>
                <c:pt idx="37">
                  <c:v>7.8302682368028079E-3</c:v>
                </c:pt>
                <c:pt idx="38">
                  <c:v>7.4573983207645786E-3</c:v>
                </c:pt>
                <c:pt idx="39">
                  <c:v>7.1022841150138825E-3</c:v>
                </c:pt>
                <c:pt idx="40">
                  <c:v>6.7640801095370318E-3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23-4416-A9A1-FCB2BCD807F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'HW10'!$AL$3:$AL$43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cat>
          <c:val>
            <c:numRef>
              <c:f>'HW10'!$AN$3:$AN$43</c:f>
              <c:numCache>
                <c:formatCode>General</c:formatCode>
                <c:ptCount val="41"/>
                <c:pt idx="0">
                  <c:v>4.7619047619047616E-2</c:v>
                </c:pt>
                <c:pt idx="1">
                  <c:v>4.7619047619047616E-2</c:v>
                </c:pt>
                <c:pt idx="2">
                  <c:v>4.3191879926573799E-2</c:v>
                </c:pt>
                <c:pt idx="3">
                  <c:v>4.1135123739594097E-2</c:v>
                </c:pt>
                <c:pt idx="4">
                  <c:v>3.9176308323422941E-2</c:v>
                </c:pt>
                <c:pt idx="5">
                  <c:v>3.7310769831831375E-2</c:v>
                </c:pt>
                <c:pt idx="6">
                  <c:v>3.5534066506506069E-2</c:v>
                </c:pt>
                <c:pt idx="7">
                  <c:v>3.3841968101434347E-2</c:v>
                </c:pt>
                <c:pt idx="8">
                  <c:v>3.2230445810889859E-2</c:v>
                </c:pt>
                <c:pt idx="9">
                  <c:v>3.0695662677037959E-2</c:v>
                </c:pt>
                <c:pt idx="10">
                  <c:v>2.9233964454321859E-2</c:v>
                </c:pt>
                <c:pt idx="11">
                  <c:v>2.7841870908877964E-2</c:v>
                </c:pt>
                <c:pt idx="12">
                  <c:v>2.6516067532264726E-2</c:v>
                </c:pt>
                <c:pt idx="13">
                  <c:v>2.5253397649775928E-2</c:v>
                </c:pt>
                <c:pt idx="14">
                  <c:v>2.4050854904548502E-2</c:v>
                </c:pt>
                <c:pt idx="15">
                  <c:v>2.2905576099570002E-2</c:v>
                </c:pt>
                <c:pt idx="16">
                  <c:v>2.1814834380542859E-2</c:v>
                </c:pt>
                <c:pt idx="17">
                  <c:v>2.077603274337415E-2</c:v>
                </c:pt>
                <c:pt idx="18">
                  <c:v>1.9786697850832525E-2</c:v>
                </c:pt>
                <c:pt idx="19">
                  <c:v>1.8844474143650022E-2</c:v>
                </c:pt>
                <c:pt idx="20">
                  <c:v>1.794711823204764E-2</c:v>
                </c:pt>
                <c:pt idx="21">
                  <c:v>1.7092493554331081E-2</c:v>
                </c:pt>
                <c:pt idx="22">
                  <c:v>1.6278565289839127E-2</c:v>
                </c:pt>
                <c:pt idx="23">
                  <c:v>1.55033955141325E-2</c:v>
                </c:pt>
                <c:pt idx="24">
                  <c:v>1.4765138584888095E-2</c:v>
                </c:pt>
                <c:pt idx="25">
                  <c:v>1.4062036747512472E-2</c:v>
                </c:pt>
                <c:pt idx="26">
                  <c:v>1.3392415950011876E-2</c:v>
                </c:pt>
                <c:pt idx="27">
                  <c:v>1.2754681857154167E-2</c:v>
                </c:pt>
                <c:pt idx="28">
                  <c:v>1.214731605443254E-2</c:v>
                </c:pt>
                <c:pt idx="29">
                  <c:v>1.1568872432792894E-2</c:v>
                </c:pt>
                <c:pt idx="30">
                  <c:v>1.1017973745517041E-2</c:v>
                </c:pt>
                <c:pt idx="31">
                  <c:v>1.0493308329063851E-2</c:v>
                </c:pt>
                <c:pt idx="32">
                  <c:v>9.9936269800608088E-3</c:v>
                </c:pt>
                <c:pt idx="33">
                  <c:v>9.5177399810102929E-3</c:v>
                </c:pt>
                <c:pt idx="34">
                  <c:v>9.0645142676288506E-3</c:v>
                </c:pt>
                <c:pt idx="35">
                  <c:v>8.6328707310750954E-3</c:v>
                </c:pt>
                <c:pt idx="36">
                  <c:v>8.2217816486429476E-3</c:v>
                </c:pt>
                <c:pt idx="37">
                  <c:v>7.8302682368028079E-3</c:v>
                </c:pt>
                <c:pt idx="38">
                  <c:v>7.4573983207645786E-3</c:v>
                </c:pt>
                <c:pt idx="39">
                  <c:v>7.1022841150138825E-3</c:v>
                </c:pt>
                <c:pt idx="40">
                  <c:v>6.7640801095370318E-3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23-4416-A9A1-FCB2BCD80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7865855"/>
        <c:axId val="1207862527"/>
      </c:barChart>
      <c:catAx>
        <c:axId val="1207865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07862527"/>
        <c:crosses val="autoZero"/>
        <c:auto val="1"/>
        <c:lblAlgn val="ctr"/>
        <c:lblOffset val="100"/>
        <c:noMultiLvlLbl val="0"/>
      </c:catAx>
      <c:valAx>
        <c:axId val="1207862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207865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4</xdr:row>
      <xdr:rowOff>53340</xdr:rowOff>
    </xdr:from>
    <xdr:to>
      <xdr:col>10</xdr:col>
      <xdr:colOff>594360</xdr:colOff>
      <xdr:row>16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6487A3-7801-400B-934B-1AA38E95E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60960</xdr:colOff>
      <xdr:row>4</xdr:row>
      <xdr:rowOff>53340</xdr:rowOff>
    </xdr:from>
    <xdr:to>
      <xdr:col>22</xdr:col>
      <xdr:colOff>487680</xdr:colOff>
      <xdr:row>16</xdr:row>
      <xdr:rowOff>144780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13F69F9-C24B-4735-AAAF-4EB7D2E3F5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114300</xdr:colOff>
      <xdr:row>4</xdr:row>
      <xdr:rowOff>15240</xdr:rowOff>
    </xdr:from>
    <xdr:to>
      <xdr:col>34</xdr:col>
      <xdr:colOff>434340</xdr:colOff>
      <xdr:row>16</xdr:row>
      <xdr:rowOff>106680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A09A1FF-99D8-4EAD-B578-CEFBDF5A7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41</xdr:col>
      <xdr:colOff>45720</xdr:colOff>
      <xdr:row>4</xdr:row>
      <xdr:rowOff>38100</xdr:rowOff>
    </xdr:from>
    <xdr:to>
      <xdr:col>46</xdr:col>
      <xdr:colOff>358140</xdr:colOff>
      <xdr:row>16</xdr:row>
      <xdr:rowOff>129540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216FC84-B0DA-4E0E-8428-24ACA6A5C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C701C-C90D-4AFA-BC80-6181D4827895}">
  <dimension ref="B1:AU43"/>
  <sheetViews>
    <sheetView tabSelected="1" zoomScale="70" zoomScaleNormal="70" workbookViewId="0">
      <selection activeCell="AV11" sqref="AV11"/>
    </sheetView>
  </sheetViews>
  <sheetFormatPr defaultRowHeight="17.399999999999999" x14ac:dyDescent="0.3"/>
  <cols>
    <col min="1" max="1" width="8.88671875" style="1"/>
    <col min="2" max="2" width="4.21875" style="1" bestFit="1" customWidth="1"/>
    <col min="3" max="4" width="17.21875" style="1" bestFit="1" customWidth="1"/>
    <col min="5" max="5" width="8.88671875" style="1"/>
    <col min="6" max="6" width="4.44140625" style="1" bestFit="1" customWidth="1"/>
    <col min="7" max="7" width="5.6640625" style="1" bestFit="1" customWidth="1"/>
    <col min="8" max="8" width="17.21875" style="1" bestFit="1" customWidth="1"/>
    <col min="9" max="9" width="10.77734375" style="1" bestFit="1" customWidth="1"/>
    <col min="10" max="11" width="17.21875" style="1" bestFit="1" customWidth="1"/>
    <col min="12" max="13" width="8.88671875" style="1"/>
    <col min="14" max="14" width="4.21875" style="1" bestFit="1" customWidth="1"/>
    <col min="15" max="16" width="17.21875" style="1" bestFit="1" customWidth="1"/>
    <col min="17" max="17" width="8.88671875" style="1"/>
    <col min="18" max="18" width="4.44140625" style="1" bestFit="1" customWidth="1"/>
    <col min="19" max="19" width="4.5546875" style="1" bestFit="1" customWidth="1"/>
    <col min="20" max="20" width="15.77734375" style="1" bestFit="1" customWidth="1"/>
    <col min="21" max="21" width="10.77734375" style="1" bestFit="1" customWidth="1"/>
    <col min="22" max="23" width="17.21875" style="1" bestFit="1" customWidth="1"/>
    <col min="24" max="25" width="8.88671875" style="1"/>
    <col min="26" max="26" width="4.21875" style="1" bestFit="1" customWidth="1"/>
    <col min="27" max="28" width="17.21875" style="1" bestFit="1" customWidth="1"/>
    <col min="29" max="29" width="8.88671875" style="1"/>
    <col min="30" max="30" width="4.44140625" style="1" bestFit="1" customWidth="1"/>
    <col min="31" max="31" width="4.5546875" style="1" bestFit="1" customWidth="1"/>
    <col min="32" max="32" width="17.21875" style="1" bestFit="1" customWidth="1"/>
    <col min="33" max="33" width="10.77734375" style="1" bestFit="1" customWidth="1"/>
    <col min="34" max="35" width="17.21875" style="1" bestFit="1" customWidth="1"/>
    <col min="36" max="37" width="8.88671875" style="1"/>
    <col min="38" max="38" width="4.21875" style="1" bestFit="1" customWidth="1"/>
    <col min="39" max="40" width="17.21875" style="1" bestFit="1" customWidth="1"/>
    <col min="41" max="41" width="8.88671875" style="1"/>
    <col min="42" max="42" width="4.44140625" style="1" bestFit="1" customWidth="1"/>
    <col min="43" max="43" width="5.6640625" style="1" bestFit="1" customWidth="1"/>
    <col min="44" max="44" width="17.21875" style="1" bestFit="1" customWidth="1"/>
    <col min="45" max="45" width="10.77734375" style="1" bestFit="1" customWidth="1"/>
    <col min="46" max="46" width="17.88671875" style="1" bestFit="1" customWidth="1"/>
    <col min="47" max="47" width="17.21875" style="1" bestFit="1" customWidth="1"/>
    <col min="48" max="16384" width="8.88671875" style="1"/>
  </cols>
  <sheetData>
    <row r="1" spans="2:47" ht="18" thickBot="1" x14ac:dyDescent="0.35"/>
    <row r="2" spans="2:47" ht="18" thickBot="1" x14ac:dyDescent="0.35">
      <c r="B2" s="4" t="s">
        <v>0</v>
      </c>
      <c r="C2" s="5" t="s">
        <v>7</v>
      </c>
      <c r="D2" s="4" t="s">
        <v>8</v>
      </c>
      <c r="F2" s="4" t="s">
        <v>1</v>
      </c>
      <c r="G2" s="4" t="s">
        <v>2</v>
      </c>
      <c r="H2" s="4" t="s">
        <v>9</v>
      </c>
      <c r="I2" s="4" t="s">
        <v>3</v>
      </c>
      <c r="J2" s="4" t="s">
        <v>4</v>
      </c>
      <c r="K2" s="4" t="s">
        <v>5</v>
      </c>
      <c r="N2" s="4" t="s">
        <v>0</v>
      </c>
      <c r="O2" s="5" t="s">
        <v>10</v>
      </c>
      <c r="P2" s="4" t="s">
        <v>8</v>
      </c>
      <c r="R2" s="4" t="s">
        <v>1</v>
      </c>
      <c r="S2" s="4" t="s">
        <v>2</v>
      </c>
      <c r="T2" s="4" t="s">
        <v>9</v>
      </c>
      <c r="U2" s="4" t="s">
        <v>3</v>
      </c>
      <c r="V2" s="4" t="s">
        <v>4</v>
      </c>
      <c r="W2" s="4" t="s">
        <v>5</v>
      </c>
      <c r="Z2" s="4" t="s">
        <v>0</v>
      </c>
      <c r="AA2" s="5" t="s">
        <v>6</v>
      </c>
      <c r="AB2" s="4" t="s">
        <v>8</v>
      </c>
      <c r="AD2" s="4" t="s">
        <v>1</v>
      </c>
      <c r="AE2" s="4" t="s">
        <v>2</v>
      </c>
      <c r="AF2" s="4" t="s">
        <v>9</v>
      </c>
      <c r="AG2" s="4" t="s">
        <v>3</v>
      </c>
      <c r="AH2" s="4" t="s">
        <v>4</v>
      </c>
      <c r="AI2" s="4" t="s">
        <v>5</v>
      </c>
      <c r="AL2" s="4" t="s">
        <v>0</v>
      </c>
      <c r="AM2" s="5" t="s">
        <v>11</v>
      </c>
      <c r="AN2" s="4" t="s">
        <v>8</v>
      </c>
      <c r="AP2" s="4" t="s">
        <v>1</v>
      </c>
      <c r="AQ2" s="4" t="s">
        <v>2</v>
      </c>
      <c r="AR2" s="4" t="s">
        <v>9</v>
      </c>
      <c r="AS2" s="4" t="s">
        <v>3</v>
      </c>
      <c r="AT2" s="4" t="s">
        <v>4</v>
      </c>
      <c r="AU2" s="4" t="s">
        <v>5</v>
      </c>
    </row>
    <row r="3" spans="2:47" ht="18" thickBot="1" x14ac:dyDescent="0.35">
      <c r="B3" s="2">
        <v>0</v>
      </c>
      <c r="C3" s="6">
        <f>1/41</f>
        <v>2.4390243902439025E-2</v>
      </c>
      <c r="D3" s="2">
        <f>IF(AND(B3&gt;$J$3, B3&lt;$K$3), C3, 0)</f>
        <v>0</v>
      </c>
      <c r="F3" s="3">
        <f>40/2</f>
        <v>20</v>
      </c>
      <c r="G3" s="3">
        <f>((41*41)-1)/12</f>
        <v>140</v>
      </c>
      <c r="H3" s="3">
        <f>SQRT(G3)</f>
        <v>11.832159566199232</v>
      </c>
      <c r="I3" s="3">
        <v>1</v>
      </c>
      <c r="J3" s="3">
        <f>$F$3-I3*H3</f>
        <v>8.1678404338007677</v>
      </c>
      <c r="K3" s="3">
        <f>$F$3+I3*H3</f>
        <v>31.83215956619923</v>
      </c>
      <c r="N3" s="2">
        <v>0</v>
      </c>
      <c r="O3" s="6">
        <f>_xlfn.BINOM.DIST(N3, 40,0.5,FALSE)</f>
        <v>9.0949470177292824E-13</v>
      </c>
      <c r="P3" s="2">
        <f>IF(AND(N3&gt;$V$3, N3&lt;$W$3), O3, 0)</f>
        <v>0</v>
      </c>
      <c r="R3" s="3">
        <f>40*0.5</f>
        <v>20</v>
      </c>
      <c r="S3" s="3">
        <f>40*0.5*0.5</f>
        <v>10</v>
      </c>
      <c r="T3" s="3">
        <f>SQRT(S3)</f>
        <v>3.1622776601683795</v>
      </c>
      <c r="U3" s="3">
        <v>1</v>
      </c>
      <c r="V3" s="3">
        <f>$R$3-U3*T3</f>
        <v>16.837722339831622</v>
      </c>
      <c r="W3" s="3">
        <f>$R$3+U3*T3</f>
        <v>23.162277660168378</v>
      </c>
      <c r="Z3" s="2">
        <v>0</v>
      </c>
      <c r="AA3" s="6">
        <f>_xlfn.POISSON.DIST(Z3,20,FALSE)</f>
        <v>2.0611536224385579E-9</v>
      </c>
      <c r="AB3" s="2">
        <f>IF(AND(Z3&gt;$AH$3, Z3&lt;$AI$3), AA3, 0)</f>
        <v>0</v>
      </c>
      <c r="AD3" s="3">
        <f>20</f>
        <v>20</v>
      </c>
      <c r="AE3" s="3">
        <f>20</f>
        <v>20</v>
      </c>
      <c r="AF3" s="3">
        <f>SQRT(AE3)</f>
        <v>4.4721359549995796</v>
      </c>
      <c r="AG3" s="3">
        <v>1</v>
      </c>
      <c r="AH3" s="3">
        <f>$AD$3-AG3*AF3</f>
        <v>15.52786404500042</v>
      </c>
      <c r="AI3" s="3">
        <f>$AD$3+AG3*AF3</f>
        <v>24.47213595499958</v>
      </c>
      <c r="AL3" s="2">
        <v>0</v>
      </c>
      <c r="AM3" s="6">
        <f>(20/21)^AL3*(1/21)</f>
        <v>4.7619047619047616E-2</v>
      </c>
      <c r="AN3" s="2">
        <f>IF(AND(AL3&gt;$AT$3, AL3&lt;$AU$3),AM3, 0)</f>
        <v>4.7619047619047616E-2</v>
      </c>
      <c r="AP3" s="3">
        <f>(1-1/21)/(1/21)</f>
        <v>20</v>
      </c>
      <c r="AQ3" s="3">
        <f>(1-1/21)/(1/21)^2</f>
        <v>420.00000000000006</v>
      </c>
      <c r="AR3" s="3">
        <f>SQRT(AQ3)</f>
        <v>20.493901531919199</v>
      </c>
      <c r="AS3" s="3">
        <v>1</v>
      </c>
      <c r="AT3" s="3">
        <f>$AP$3-AS3*AR3</f>
        <v>-0.4939015319191995</v>
      </c>
      <c r="AU3" s="3">
        <f>$AP$3+AS3*AR3</f>
        <v>40.493901531919199</v>
      </c>
    </row>
    <row r="4" spans="2:47" x14ac:dyDescent="0.3">
      <c r="B4" s="2">
        <v>1</v>
      </c>
      <c r="C4" s="6">
        <f t="shared" ref="C4:C43" si="0">1/41</f>
        <v>2.4390243902439025E-2</v>
      </c>
      <c r="D4" s="2">
        <f t="shared" ref="D4:D43" si="1">IF(AND(B4&gt;$J$3, B4&lt;$K$3), C4, 0)</f>
        <v>0</v>
      </c>
      <c r="N4" s="2">
        <v>1</v>
      </c>
      <c r="O4" s="6">
        <f t="shared" ref="O4:O43" si="2">_xlfn.BINOM.DIST(N4, 40,0.5,FALSE)</f>
        <v>3.6379788070917149E-11</v>
      </c>
      <c r="P4" s="2">
        <f t="shared" ref="P4:P43" si="3">IF(AND(N4&gt;$V$3, N4&lt;$W$3), O4, 0)</f>
        <v>0</v>
      </c>
      <c r="Z4" s="2">
        <v>1</v>
      </c>
      <c r="AA4" s="6">
        <f t="shared" ref="AA4:AA43" si="4">_xlfn.POISSON.DIST(Z4,20,FALSE)</f>
        <v>4.1223072448771152E-8</v>
      </c>
      <c r="AB4" s="2">
        <f t="shared" ref="AB4:AB43" si="5">IF(AND(Z4&gt;$AH$3, Z4&lt;$AI$3), AA4, 0)</f>
        <v>0</v>
      </c>
      <c r="AL4" s="2">
        <v>1</v>
      </c>
      <c r="AM4" s="6">
        <f t="shared" ref="AM4:AM43" si="6">(20/21)^AL4*(1/21)</f>
        <v>4.5351473922902487E-2</v>
      </c>
      <c r="AN4" s="2">
        <f>IF(AND(AL4&gt;$AT$3, AL4&lt;$AU$3), AM3, 0)</f>
        <v>4.7619047619047616E-2</v>
      </c>
    </row>
    <row r="5" spans="2:47" x14ac:dyDescent="0.3">
      <c r="B5" s="2">
        <v>2</v>
      </c>
      <c r="C5" s="6">
        <f t="shared" si="0"/>
        <v>2.4390243902439025E-2</v>
      </c>
      <c r="D5" s="2">
        <f t="shared" si="1"/>
        <v>0</v>
      </c>
      <c r="N5" s="2">
        <v>2</v>
      </c>
      <c r="O5" s="6">
        <f t="shared" si="2"/>
        <v>7.0940586738288651E-10</v>
      </c>
      <c r="P5" s="2">
        <f t="shared" si="3"/>
        <v>0</v>
      </c>
      <c r="Z5" s="2">
        <v>2</v>
      </c>
      <c r="AA5" s="6">
        <f t="shared" si="4"/>
        <v>4.1223072448771121E-7</v>
      </c>
      <c r="AB5" s="2">
        <f t="shared" si="5"/>
        <v>0</v>
      </c>
      <c r="AL5" s="2">
        <v>2</v>
      </c>
      <c r="AM5" s="6">
        <f t="shared" si="6"/>
        <v>4.3191879926573799E-2</v>
      </c>
      <c r="AN5" s="2">
        <f t="shared" ref="AN5:AN43" si="7">IF(AND(AL5&gt;$AT$3, AL5&lt;$AU$3), AM5, 0)</f>
        <v>4.3191879926573799E-2</v>
      </c>
    </row>
    <row r="6" spans="2:47" x14ac:dyDescent="0.3">
      <c r="B6" s="2">
        <v>3</v>
      </c>
      <c r="C6" s="6">
        <f t="shared" si="0"/>
        <v>2.4390243902439025E-2</v>
      </c>
      <c r="D6" s="2">
        <f t="shared" si="1"/>
        <v>0</v>
      </c>
      <c r="N6" s="2">
        <v>3</v>
      </c>
      <c r="O6" s="6">
        <f t="shared" si="2"/>
        <v>8.9858076535164896E-9</v>
      </c>
      <c r="P6" s="2">
        <f t="shared" si="3"/>
        <v>0</v>
      </c>
      <c r="Z6" s="2">
        <v>3</v>
      </c>
      <c r="AA6" s="6">
        <f t="shared" si="4"/>
        <v>2.7482048299180789E-6</v>
      </c>
      <c r="AB6" s="2">
        <f t="shared" si="5"/>
        <v>0</v>
      </c>
      <c r="AL6" s="2">
        <v>3</v>
      </c>
      <c r="AM6" s="6">
        <f t="shared" si="6"/>
        <v>4.1135123739594097E-2</v>
      </c>
      <c r="AN6" s="2">
        <f t="shared" si="7"/>
        <v>4.1135123739594097E-2</v>
      </c>
    </row>
    <row r="7" spans="2:47" x14ac:dyDescent="0.3">
      <c r="B7" s="2">
        <v>4</v>
      </c>
      <c r="C7" s="6">
        <f t="shared" si="0"/>
        <v>2.4390243902439025E-2</v>
      </c>
      <c r="D7" s="2">
        <f t="shared" si="1"/>
        <v>0</v>
      </c>
      <c r="N7" s="2">
        <v>4</v>
      </c>
      <c r="O7" s="6">
        <f t="shared" si="2"/>
        <v>8.3118720795027925E-8</v>
      </c>
      <c r="P7" s="2">
        <f t="shared" si="3"/>
        <v>0</v>
      </c>
      <c r="Z7" s="2">
        <v>4</v>
      </c>
      <c r="AA7" s="6">
        <f t="shared" si="4"/>
        <v>1.3741024149590403E-5</v>
      </c>
      <c r="AB7" s="2">
        <f t="shared" si="5"/>
        <v>0</v>
      </c>
      <c r="AL7" s="2">
        <v>4</v>
      </c>
      <c r="AM7" s="6">
        <f t="shared" si="6"/>
        <v>3.9176308323422941E-2</v>
      </c>
      <c r="AN7" s="2">
        <f t="shared" si="7"/>
        <v>3.9176308323422941E-2</v>
      </c>
    </row>
    <row r="8" spans="2:47" x14ac:dyDescent="0.3">
      <c r="B8" s="2">
        <v>5</v>
      </c>
      <c r="C8" s="6">
        <f t="shared" si="0"/>
        <v>2.4390243902439025E-2</v>
      </c>
      <c r="D8" s="2">
        <f t="shared" si="1"/>
        <v>0</v>
      </c>
      <c r="N8" s="2">
        <v>5</v>
      </c>
      <c r="O8" s="6">
        <f t="shared" si="2"/>
        <v>5.9845478972420139E-7</v>
      </c>
      <c r="P8" s="2">
        <f t="shared" si="3"/>
        <v>0</v>
      </c>
      <c r="Z8" s="2">
        <v>5</v>
      </c>
      <c r="AA8" s="6">
        <f t="shared" si="4"/>
        <v>5.4964096598361591E-5</v>
      </c>
      <c r="AB8" s="2">
        <f t="shared" si="5"/>
        <v>0</v>
      </c>
      <c r="AL8" s="2">
        <v>5</v>
      </c>
      <c r="AM8" s="6">
        <f t="shared" si="6"/>
        <v>3.7310769831831375E-2</v>
      </c>
      <c r="AN8" s="2">
        <f t="shared" si="7"/>
        <v>3.7310769831831375E-2</v>
      </c>
    </row>
    <row r="9" spans="2:47" x14ac:dyDescent="0.3">
      <c r="B9" s="2">
        <v>6</v>
      </c>
      <c r="C9" s="6">
        <f t="shared" si="0"/>
        <v>2.4390243902439025E-2</v>
      </c>
      <c r="D9" s="2">
        <f t="shared" si="1"/>
        <v>0</v>
      </c>
      <c r="N9" s="2">
        <v>6</v>
      </c>
      <c r="O9" s="6">
        <f t="shared" si="2"/>
        <v>3.4909862733911799E-6</v>
      </c>
      <c r="P9" s="2">
        <f t="shared" si="3"/>
        <v>0</v>
      </c>
      <c r="Z9" s="2">
        <v>6</v>
      </c>
      <c r="AA9" s="6">
        <f t="shared" si="4"/>
        <v>1.8321365532787196E-4</v>
      </c>
      <c r="AB9" s="2">
        <f t="shared" si="5"/>
        <v>0</v>
      </c>
      <c r="AL9" s="2">
        <v>6</v>
      </c>
      <c r="AM9" s="6">
        <f t="shared" si="6"/>
        <v>3.5534066506506069E-2</v>
      </c>
      <c r="AN9" s="2">
        <f t="shared" si="7"/>
        <v>3.5534066506506069E-2</v>
      </c>
    </row>
    <row r="10" spans="2:47" x14ac:dyDescent="0.3">
      <c r="B10" s="2">
        <v>7</v>
      </c>
      <c r="C10" s="6">
        <f t="shared" si="0"/>
        <v>2.4390243902439025E-2</v>
      </c>
      <c r="D10" s="2">
        <f t="shared" si="1"/>
        <v>0</v>
      </c>
      <c r="N10" s="2">
        <v>7</v>
      </c>
      <c r="O10" s="6">
        <f t="shared" si="2"/>
        <v>1.6956219042185785E-5</v>
      </c>
      <c r="P10" s="2">
        <f t="shared" si="3"/>
        <v>0</v>
      </c>
      <c r="Z10" s="2">
        <v>7</v>
      </c>
      <c r="AA10" s="6">
        <f t="shared" si="4"/>
        <v>5.2346758665106302E-4</v>
      </c>
      <c r="AB10" s="2">
        <f t="shared" si="5"/>
        <v>0</v>
      </c>
      <c r="AL10" s="2">
        <v>7</v>
      </c>
      <c r="AM10" s="6">
        <f t="shared" si="6"/>
        <v>3.3841968101434347E-2</v>
      </c>
      <c r="AN10" s="2">
        <f t="shared" si="7"/>
        <v>3.3841968101434347E-2</v>
      </c>
    </row>
    <row r="11" spans="2:47" x14ac:dyDescent="0.3">
      <c r="B11" s="2">
        <v>8</v>
      </c>
      <c r="C11" s="6">
        <f t="shared" si="0"/>
        <v>2.4390243902439025E-2</v>
      </c>
      <c r="D11" s="2">
        <f t="shared" si="1"/>
        <v>0</v>
      </c>
      <c r="N11" s="2">
        <v>8</v>
      </c>
      <c r="O11" s="6">
        <f t="shared" si="2"/>
        <v>6.9944403549015798E-5</v>
      </c>
      <c r="P11" s="2">
        <f t="shared" si="3"/>
        <v>0</v>
      </c>
      <c r="Z11" s="2">
        <v>8</v>
      </c>
      <c r="AA11" s="6">
        <f t="shared" si="4"/>
        <v>1.3086689666276553E-3</v>
      </c>
      <c r="AB11" s="2">
        <f t="shared" si="5"/>
        <v>0</v>
      </c>
      <c r="AL11" s="2">
        <v>8</v>
      </c>
      <c r="AM11" s="6">
        <f t="shared" si="6"/>
        <v>3.2230445810889859E-2</v>
      </c>
      <c r="AN11" s="2">
        <f t="shared" si="7"/>
        <v>3.2230445810889859E-2</v>
      </c>
    </row>
    <row r="12" spans="2:47" x14ac:dyDescent="0.3">
      <c r="B12" s="2">
        <v>9</v>
      </c>
      <c r="C12" s="6">
        <f t="shared" si="0"/>
        <v>2.4390243902439025E-2</v>
      </c>
      <c r="D12" s="2">
        <f t="shared" si="1"/>
        <v>2.4390243902439025E-2</v>
      </c>
      <c r="N12" s="2">
        <v>9</v>
      </c>
      <c r="O12" s="6">
        <f t="shared" si="2"/>
        <v>2.4869121261872281E-4</v>
      </c>
      <c r="P12" s="2">
        <f t="shared" si="3"/>
        <v>0</v>
      </c>
      <c r="Z12" s="2">
        <v>9</v>
      </c>
      <c r="AA12" s="6">
        <f t="shared" si="4"/>
        <v>2.9081532591725681E-3</v>
      </c>
      <c r="AB12" s="2">
        <f t="shared" si="5"/>
        <v>0</v>
      </c>
      <c r="AL12" s="2">
        <v>9</v>
      </c>
      <c r="AM12" s="6">
        <f t="shared" si="6"/>
        <v>3.0695662677037959E-2</v>
      </c>
      <c r="AN12" s="2">
        <f t="shared" si="7"/>
        <v>3.0695662677037959E-2</v>
      </c>
    </row>
    <row r="13" spans="2:47" x14ac:dyDescent="0.3">
      <c r="B13" s="2">
        <v>10</v>
      </c>
      <c r="C13" s="6">
        <f t="shared" si="0"/>
        <v>2.4390243902439025E-2</v>
      </c>
      <c r="D13" s="2">
        <f t="shared" si="1"/>
        <v>2.4390243902439025E-2</v>
      </c>
      <c r="N13" s="2">
        <v>10</v>
      </c>
      <c r="O13" s="6">
        <f t="shared" si="2"/>
        <v>7.7094275911804278E-4</v>
      </c>
      <c r="P13" s="2">
        <f t="shared" si="3"/>
        <v>0</v>
      </c>
      <c r="Z13" s="2">
        <v>10</v>
      </c>
      <c r="AA13" s="6">
        <f t="shared" si="4"/>
        <v>5.8163065183451353E-3</v>
      </c>
      <c r="AB13" s="2">
        <f t="shared" si="5"/>
        <v>0</v>
      </c>
      <c r="AL13" s="2">
        <v>10</v>
      </c>
      <c r="AM13" s="6">
        <f t="shared" si="6"/>
        <v>2.9233964454321859E-2</v>
      </c>
      <c r="AN13" s="2">
        <f t="shared" si="7"/>
        <v>2.9233964454321859E-2</v>
      </c>
    </row>
    <row r="14" spans="2:47" x14ac:dyDescent="0.3">
      <c r="B14" s="2">
        <v>11</v>
      </c>
      <c r="C14" s="6">
        <f t="shared" si="0"/>
        <v>2.4390243902439025E-2</v>
      </c>
      <c r="D14" s="2">
        <f t="shared" si="1"/>
        <v>2.4390243902439025E-2</v>
      </c>
      <c r="N14" s="2">
        <v>11</v>
      </c>
      <c r="O14" s="6">
        <f t="shared" si="2"/>
        <v>2.1025711612310239E-3</v>
      </c>
      <c r="P14" s="2">
        <f t="shared" si="3"/>
        <v>0</v>
      </c>
      <c r="Z14" s="2">
        <v>11</v>
      </c>
      <c r="AA14" s="6">
        <f t="shared" si="4"/>
        <v>1.0575102760627515E-2</v>
      </c>
      <c r="AB14" s="2">
        <f t="shared" si="5"/>
        <v>0</v>
      </c>
      <c r="AL14" s="2">
        <v>11</v>
      </c>
      <c r="AM14" s="6">
        <f t="shared" si="6"/>
        <v>2.7841870908877964E-2</v>
      </c>
      <c r="AN14" s="2">
        <f t="shared" si="7"/>
        <v>2.7841870908877964E-2</v>
      </c>
    </row>
    <row r="15" spans="2:47" x14ac:dyDescent="0.3">
      <c r="B15" s="2">
        <v>12</v>
      </c>
      <c r="C15" s="6">
        <f t="shared" si="0"/>
        <v>2.4390243902439025E-2</v>
      </c>
      <c r="D15" s="2">
        <f t="shared" si="1"/>
        <v>2.4390243902439025E-2</v>
      </c>
      <c r="N15" s="2">
        <v>12</v>
      </c>
      <c r="O15" s="6">
        <f t="shared" si="2"/>
        <v>5.0812136396416489E-3</v>
      </c>
      <c r="P15" s="2">
        <f t="shared" si="3"/>
        <v>0</v>
      </c>
      <c r="Z15" s="2">
        <v>12</v>
      </c>
      <c r="AA15" s="6">
        <f t="shared" si="4"/>
        <v>1.7625171267712545E-2</v>
      </c>
      <c r="AB15" s="2">
        <f t="shared" si="5"/>
        <v>0</v>
      </c>
      <c r="AL15" s="2">
        <v>12</v>
      </c>
      <c r="AM15" s="6">
        <f t="shared" si="6"/>
        <v>2.6516067532264726E-2</v>
      </c>
      <c r="AN15" s="2">
        <f t="shared" si="7"/>
        <v>2.6516067532264726E-2</v>
      </c>
    </row>
    <row r="16" spans="2:47" x14ac:dyDescent="0.3">
      <c r="B16" s="2">
        <v>13</v>
      </c>
      <c r="C16" s="6">
        <f t="shared" si="0"/>
        <v>2.4390243902439025E-2</v>
      </c>
      <c r="D16" s="2">
        <f t="shared" si="1"/>
        <v>2.4390243902439025E-2</v>
      </c>
      <c r="N16" s="2">
        <v>13</v>
      </c>
      <c r="O16" s="6">
        <f t="shared" si="2"/>
        <v>1.094415245461278E-2</v>
      </c>
      <c r="P16" s="2">
        <f t="shared" si="3"/>
        <v>0</v>
      </c>
      <c r="Z16" s="2">
        <v>13</v>
      </c>
      <c r="AA16" s="6">
        <f t="shared" si="4"/>
        <v>2.7115648104173135E-2</v>
      </c>
      <c r="AB16" s="2">
        <f t="shared" si="5"/>
        <v>0</v>
      </c>
      <c r="AL16" s="2">
        <v>13</v>
      </c>
      <c r="AM16" s="6">
        <f t="shared" si="6"/>
        <v>2.5253397649775928E-2</v>
      </c>
      <c r="AN16" s="2">
        <f t="shared" si="7"/>
        <v>2.5253397649775928E-2</v>
      </c>
    </row>
    <row r="17" spans="2:40" x14ac:dyDescent="0.3">
      <c r="B17" s="2">
        <v>14</v>
      </c>
      <c r="C17" s="6">
        <f t="shared" si="0"/>
        <v>2.4390243902439025E-2</v>
      </c>
      <c r="D17" s="2">
        <f t="shared" si="1"/>
        <v>2.4390243902439025E-2</v>
      </c>
      <c r="N17" s="2">
        <v>14</v>
      </c>
      <c r="O17" s="6">
        <f t="shared" si="2"/>
        <v>2.1106579733896052E-2</v>
      </c>
      <c r="P17" s="2">
        <f t="shared" si="3"/>
        <v>0</v>
      </c>
      <c r="Z17" s="2">
        <v>14</v>
      </c>
      <c r="AA17" s="6">
        <f t="shared" si="4"/>
        <v>3.8736640148818745E-2</v>
      </c>
      <c r="AB17" s="2">
        <f t="shared" si="5"/>
        <v>0</v>
      </c>
      <c r="AL17" s="2">
        <v>14</v>
      </c>
      <c r="AM17" s="6">
        <f t="shared" si="6"/>
        <v>2.4050854904548502E-2</v>
      </c>
      <c r="AN17" s="2">
        <f t="shared" si="7"/>
        <v>2.4050854904548502E-2</v>
      </c>
    </row>
    <row r="18" spans="2:40" x14ac:dyDescent="0.3">
      <c r="B18" s="2">
        <v>15</v>
      </c>
      <c r="C18" s="6">
        <f t="shared" si="0"/>
        <v>2.4390243902439025E-2</v>
      </c>
      <c r="D18" s="2">
        <f t="shared" si="1"/>
        <v>2.4390243902439025E-2</v>
      </c>
      <c r="N18" s="2">
        <v>15</v>
      </c>
      <c r="O18" s="6">
        <f t="shared" si="2"/>
        <v>3.6584738205419853E-2</v>
      </c>
      <c r="P18" s="2">
        <f t="shared" si="3"/>
        <v>0</v>
      </c>
      <c r="Z18" s="2">
        <v>15</v>
      </c>
      <c r="AA18" s="6">
        <f t="shared" si="4"/>
        <v>5.1648853531758354E-2</v>
      </c>
      <c r="AB18" s="2">
        <f t="shared" si="5"/>
        <v>0</v>
      </c>
      <c r="AL18" s="2">
        <v>15</v>
      </c>
      <c r="AM18" s="6">
        <f t="shared" si="6"/>
        <v>2.2905576099570002E-2</v>
      </c>
      <c r="AN18" s="2">
        <f t="shared" si="7"/>
        <v>2.2905576099570002E-2</v>
      </c>
    </row>
    <row r="19" spans="2:40" x14ac:dyDescent="0.3">
      <c r="B19" s="2">
        <v>16</v>
      </c>
      <c r="C19" s="6">
        <f t="shared" si="0"/>
        <v>2.4390243902439025E-2</v>
      </c>
      <c r="D19" s="2">
        <f t="shared" si="1"/>
        <v>2.4390243902439025E-2</v>
      </c>
      <c r="N19" s="2">
        <v>16</v>
      </c>
      <c r="O19" s="6">
        <f t="shared" si="2"/>
        <v>5.7163653445968521E-2</v>
      </c>
      <c r="P19" s="2">
        <f t="shared" si="3"/>
        <v>0</v>
      </c>
      <c r="Z19" s="2">
        <v>16</v>
      </c>
      <c r="AA19" s="6">
        <f t="shared" si="4"/>
        <v>6.4561066914697929E-2</v>
      </c>
      <c r="AB19" s="2">
        <f t="shared" si="5"/>
        <v>6.4561066914697929E-2</v>
      </c>
      <c r="AL19" s="2">
        <v>16</v>
      </c>
      <c r="AM19" s="6">
        <f t="shared" si="6"/>
        <v>2.1814834380542859E-2</v>
      </c>
      <c r="AN19" s="2">
        <f t="shared" si="7"/>
        <v>2.1814834380542859E-2</v>
      </c>
    </row>
    <row r="20" spans="2:40" x14ac:dyDescent="0.3">
      <c r="B20" s="2">
        <v>17</v>
      </c>
      <c r="C20" s="6">
        <f t="shared" si="0"/>
        <v>2.4390243902439025E-2</v>
      </c>
      <c r="D20" s="2">
        <f t="shared" si="1"/>
        <v>2.4390243902439025E-2</v>
      </c>
      <c r="N20" s="2">
        <v>17</v>
      </c>
      <c r="O20" s="6">
        <f t="shared" si="2"/>
        <v>8.07016283943085E-2</v>
      </c>
      <c r="P20" s="2">
        <f t="shared" si="3"/>
        <v>8.07016283943085E-2</v>
      </c>
      <c r="Z20" s="2">
        <v>17</v>
      </c>
      <c r="AA20" s="6">
        <f t="shared" si="4"/>
        <v>7.595419637023286E-2</v>
      </c>
      <c r="AB20" s="2">
        <f t="shared" si="5"/>
        <v>7.595419637023286E-2</v>
      </c>
      <c r="AL20" s="2">
        <v>17</v>
      </c>
      <c r="AM20" s="6">
        <f t="shared" si="6"/>
        <v>2.077603274337415E-2</v>
      </c>
      <c r="AN20" s="2">
        <f t="shared" si="7"/>
        <v>2.077603274337415E-2</v>
      </c>
    </row>
    <row r="21" spans="2:40" x14ac:dyDescent="0.3">
      <c r="B21" s="2">
        <v>18</v>
      </c>
      <c r="C21" s="6">
        <f t="shared" si="0"/>
        <v>2.4390243902439025E-2</v>
      </c>
      <c r="D21" s="2">
        <f t="shared" si="1"/>
        <v>2.4390243902439025E-2</v>
      </c>
      <c r="N21" s="2">
        <v>18</v>
      </c>
      <c r="O21" s="6">
        <f t="shared" si="2"/>
        <v>0.10311874739272751</v>
      </c>
      <c r="P21" s="2">
        <f t="shared" si="3"/>
        <v>0.10311874739272751</v>
      </c>
      <c r="Z21" s="2">
        <v>18</v>
      </c>
      <c r="AA21" s="6">
        <f t="shared" si="4"/>
        <v>8.4393551522480972E-2</v>
      </c>
      <c r="AB21" s="2">
        <f t="shared" si="5"/>
        <v>8.4393551522480972E-2</v>
      </c>
      <c r="AL21" s="2">
        <v>18</v>
      </c>
      <c r="AM21" s="6">
        <f t="shared" si="6"/>
        <v>1.9786697850832525E-2</v>
      </c>
      <c r="AN21" s="2">
        <f t="shared" si="7"/>
        <v>1.9786697850832525E-2</v>
      </c>
    </row>
    <row r="22" spans="2:40" x14ac:dyDescent="0.3">
      <c r="B22" s="2">
        <v>19</v>
      </c>
      <c r="C22" s="6">
        <f t="shared" si="0"/>
        <v>2.4390243902439025E-2</v>
      </c>
      <c r="D22" s="2">
        <f t="shared" si="1"/>
        <v>2.4390243902439025E-2</v>
      </c>
      <c r="N22" s="2">
        <v>19</v>
      </c>
      <c r="O22" s="6">
        <f t="shared" si="2"/>
        <v>0.11940065487578974</v>
      </c>
      <c r="P22" s="2">
        <f t="shared" si="3"/>
        <v>0.11940065487578974</v>
      </c>
      <c r="Z22" s="2">
        <v>19</v>
      </c>
      <c r="AA22" s="6">
        <f t="shared" si="4"/>
        <v>8.8835317392085208E-2</v>
      </c>
      <c r="AB22" s="2">
        <f t="shared" si="5"/>
        <v>8.8835317392085208E-2</v>
      </c>
      <c r="AL22" s="2">
        <v>19</v>
      </c>
      <c r="AM22" s="6">
        <f t="shared" si="6"/>
        <v>1.8844474143650022E-2</v>
      </c>
      <c r="AN22" s="2">
        <f t="shared" si="7"/>
        <v>1.8844474143650022E-2</v>
      </c>
    </row>
    <row r="23" spans="2:40" x14ac:dyDescent="0.3">
      <c r="B23" s="2">
        <v>20</v>
      </c>
      <c r="C23" s="6">
        <f t="shared" si="0"/>
        <v>2.4390243902439025E-2</v>
      </c>
      <c r="D23" s="2">
        <f t="shared" si="1"/>
        <v>2.4390243902439025E-2</v>
      </c>
      <c r="N23" s="2">
        <v>20</v>
      </c>
      <c r="O23" s="6">
        <f t="shared" si="2"/>
        <v>0.12537068761957929</v>
      </c>
      <c r="P23" s="2">
        <f t="shared" si="3"/>
        <v>0.12537068761957929</v>
      </c>
      <c r="Z23" s="2">
        <v>20</v>
      </c>
      <c r="AA23" s="6">
        <f t="shared" si="4"/>
        <v>8.8835317392085222E-2</v>
      </c>
      <c r="AB23" s="2">
        <f t="shared" si="5"/>
        <v>8.8835317392085222E-2</v>
      </c>
      <c r="AL23" s="2">
        <v>20</v>
      </c>
      <c r="AM23" s="6">
        <f t="shared" si="6"/>
        <v>1.794711823204764E-2</v>
      </c>
      <c r="AN23" s="2">
        <f t="shared" si="7"/>
        <v>1.794711823204764E-2</v>
      </c>
    </row>
    <row r="24" spans="2:40" x14ac:dyDescent="0.3">
      <c r="B24" s="2">
        <v>21</v>
      </c>
      <c r="C24" s="6">
        <f t="shared" si="0"/>
        <v>2.4390243902439025E-2</v>
      </c>
      <c r="D24" s="2">
        <f t="shared" si="1"/>
        <v>2.4390243902439025E-2</v>
      </c>
      <c r="N24" s="2">
        <v>21</v>
      </c>
      <c r="O24" s="6">
        <f t="shared" si="2"/>
        <v>0.11940065487578974</v>
      </c>
      <c r="P24" s="2">
        <f t="shared" si="3"/>
        <v>0.11940065487578974</v>
      </c>
      <c r="Z24" s="2">
        <v>21</v>
      </c>
      <c r="AA24" s="6">
        <f t="shared" si="4"/>
        <v>8.4605064182938283E-2</v>
      </c>
      <c r="AB24" s="2">
        <f t="shared" si="5"/>
        <v>8.4605064182938283E-2</v>
      </c>
      <c r="AL24" s="2">
        <v>21</v>
      </c>
      <c r="AM24" s="6">
        <f t="shared" si="6"/>
        <v>1.7092493554331081E-2</v>
      </c>
      <c r="AN24" s="2">
        <f t="shared" si="7"/>
        <v>1.7092493554331081E-2</v>
      </c>
    </row>
    <row r="25" spans="2:40" x14ac:dyDescent="0.3">
      <c r="B25" s="2">
        <v>22</v>
      </c>
      <c r="C25" s="6">
        <f t="shared" si="0"/>
        <v>2.4390243902439025E-2</v>
      </c>
      <c r="D25" s="2">
        <f t="shared" si="1"/>
        <v>2.4390243902439025E-2</v>
      </c>
      <c r="N25" s="2">
        <v>22</v>
      </c>
      <c r="O25" s="6">
        <f t="shared" si="2"/>
        <v>0.10311874739272751</v>
      </c>
      <c r="P25" s="2">
        <f t="shared" si="3"/>
        <v>0.10311874739272751</v>
      </c>
      <c r="Z25" s="2">
        <v>22</v>
      </c>
      <c r="AA25" s="6">
        <f t="shared" si="4"/>
        <v>7.6913694711762098E-2</v>
      </c>
      <c r="AB25" s="2">
        <f t="shared" si="5"/>
        <v>7.6913694711762098E-2</v>
      </c>
      <c r="AL25" s="2">
        <v>22</v>
      </c>
      <c r="AM25" s="6">
        <f t="shared" si="6"/>
        <v>1.6278565289839127E-2</v>
      </c>
      <c r="AN25" s="2">
        <f t="shared" si="7"/>
        <v>1.6278565289839127E-2</v>
      </c>
    </row>
    <row r="26" spans="2:40" x14ac:dyDescent="0.3">
      <c r="B26" s="2">
        <v>23</v>
      </c>
      <c r="C26" s="6">
        <f t="shared" si="0"/>
        <v>2.4390243902439025E-2</v>
      </c>
      <c r="D26" s="2">
        <f t="shared" si="1"/>
        <v>2.4390243902439025E-2</v>
      </c>
      <c r="N26" s="2">
        <v>23</v>
      </c>
      <c r="O26" s="6">
        <f t="shared" si="2"/>
        <v>8.07016283943085E-2</v>
      </c>
      <c r="P26" s="2">
        <f t="shared" si="3"/>
        <v>8.07016283943085E-2</v>
      </c>
      <c r="Z26" s="2">
        <v>23</v>
      </c>
      <c r="AA26" s="6">
        <f t="shared" si="4"/>
        <v>6.6881473662401839E-2</v>
      </c>
      <c r="AB26" s="2">
        <f t="shared" si="5"/>
        <v>6.6881473662401839E-2</v>
      </c>
      <c r="AL26" s="2">
        <v>23</v>
      </c>
      <c r="AM26" s="6">
        <f t="shared" si="6"/>
        <v>1.55033955141325E-2</v>
      </c>
      <c r="AN26" s="2">
        <f t="shared" si="7"/>
        <v>1.55033955141325E-2</v>
      </c>
    </row>
    <row r="27" spans="2:40" x14ac:dyDescent="0.3">
      <c r="B27" s="2">
        <v>24</v>
      </c>
      <c r="C27" s="6">
        <f t="shared" si="0"/>
        <v>2.4390243902439025E-2</v>
      </c>
      <c r="D27" s="2">
        <f t="shared" si="1"/>
        <v>2.4390243902439025E-2</v>
      </c>
      <c r="N27" s="2">
        <v>24</v>
      </c>
      <c r="O27" s="6">
        <f t="shared" si="2"/>
        <v>5.7163653445968521E-2</v>
      </c>
      <c r="P27" s="2">
        <f t="shared" si="3"/>
        <v>0</v>
      </c>
      <c r="Z27" s="2">
        <v>24</v>
      </c>
      <c r="AA27" s="6">
        <f t="shared" si="4"/>
        <v>5.5734561385334863E-2</v>
      </c>
      <c r="AB27" s="2">
        <f t="shared" si="5"/>
        <v>5.5734561385334863E-2</v>
      </c>
      <c r="AL27" s="2">
        <v>24</v>
      </c>
      <c r="AM27" s="6">
        <f t="shared" si="6"/>
        <v>1.4765138584888095E-2</v>
      </c>
      <c r="AN27" s="2">
        <f t="shared" si="7"/>
        <v>1.4765138584888095E-2</v>
      </c>
    </row>
    <row r="28" spans="2:40" x14ac:dyDescent="0.3">
      <c r="B28" s="2">
        <v>25</v>
      </c>
      <c r="C28" s="6">
        <f t="shared" si="0"/>
        <v>2.4390243902439025E-2</v>
      </c>
      <c r="D28" s="2">
        <f t="shared" si="1"/>
        <v>2.4390243902439025E-2</v>
      </c>
      <c r="N28" s="2">
        <v>25</v>
      </c>
      <c r="O28" s="6">
        <f t="shared" si="2"/>
        <v>3.6584738205419853E-2</v>
      </c>
      <c r="P28" s="2">
        <f t="shared" si="3"/>
        <v>0</v>
      </c>
      <c r="Z28" s="2">
        <v>25</v>
      </c>
      <c r="AA28" s="6">
        <f t="shared" si="4"/>
        <v>4.4587649108267881E-2</v>
      </c>
      <c r="AB28" s="2">
        <f t="shared" si="5"/>
        <v>0</v>
      </c>
      <c r="AL28" s="2">
        <v>25</v>
      </c>
      <c r="AM28" s="6">
        <f t="shared" si="6"/>
        <v>1.4062036747512472E-2</v>
      </c>
      <c r="AN28" s="2">
        <f t="shared" si="7"/>
        <v>1.4062036747512472E-2</v>
      </c>
    </row>
    <row r="29" spans="2:40" x14ac:dyDescent="0.3">
      <c r="B29" s="2">
        <v>26</v>
      </c>
      <c r="C29" s="6">
        <f t="shared" si="0"/>
        <v>2.4390243902439025E-2</v>
      </c>
      <c r="D29" s="2">
        <f t="shared" si="1"/>
        <v>2.4390243902439025E-2</v>
      </c>
      <c r="N29" s="2">
        <v>26</v>
      </c>
      <c r="O29" s="6">
        <f t="shared" si="2"/>
        <v>2.1106579733896052E-2</v>
      </c>
      <c r="P29" s="2">
        <f t="shared" si="3"/>
        <v>0</v>
      </c>
      <c r="Z29" s="2">
        <v>26</v>
      </c>
      <c r="AA29" s="6">
        <f t="shared" si="4"/>
        <v>3.4298191621744509E-2</v>
      </c>
      <c r="AB29" s="2">
        <f t="shared" si="5"/>
        <v>0</v>
      </c>
      <c r="AL29" s="2">
        <v>26</v>
      </c>
      <c r="AM29" s="6">
        <f t="shared" si="6"/>
        <v>1.3392415950011876E-2</v>
      </c>
      <c r="AN29" s="2">
        <f t="shared" si="7"/>
        <v>1.3392415950011876E-2</v>
      </c>
    </row>
    <row r="30" spans="2:40" x14ac:dyDescent="0.3">
      <c r="B30" s="2">
        <v>27</v>
      </c>
      <c r="C30" s="6">
        <f t="shared" si="0"/>
        <v>2.4390243902439025E-2</v>
      </c>
      <c r="D30" s="2">
        <f t="shared" si="1"/>
        <v>2.4390243902439025E-2</v>
      </c>
      <c r="N30" s="2">
        <v>27</v>
      </c>
      <c r="O30" s="6">
        <f t="shared" si="2"/>
        <v>1.094415245461278E-2</v>
      </c>
      <c r="P30" s="2">
        <f t="shared" si="3"/>
        <v>0</v>
      </c>
      <c r="Z30" s="2">
        <v>27</v>
      </c>
      <c r="AA30" s="6">
        <f t="shared" si="4"/>
        <v>2.5406067867958917E-2</v>
      </c>
      <c r="AB30" s="2">
        <f t="shared" si="5"/>
        <v>0</v>
      </c>
      <c r="AL30" s="2">
        <v>27</v>
      </c>
      <c r="AM30" s="6">
        <f t="shared" si="6"/>
        <v>1.2754681857154167E-2</v>
      </c>
      <c r="AN30" s="2">
        <f t="shared" si="7"/>
        <v>1.2754681857154167E-2</v>
      </c>
    </row>
    <row r="31" spans="2:40" x14ac:dyDescent="0.3">
      <c r="B31" s="2">
        <v>28</v>
      </c>
      <c r="C31" s="6">
        <f t="shared" si="0"/>
        <v>2.4390243902439025E-2</v>
      </c>
      <c r="D31" s="2">
        <f t="shared" si="1"/>
        <v>2.4390243902439025E-2</v>
      </c>
      <c r="N31" s="2">
        <v>28</v>
      </c>
      <c r="O31" s="6">
        <f t="shared" si="2"/>
        <v>5.0812136396416489E-3</v>
      </c>
      <c r="P31" s="2">
        <f t="shared" si="3"/>
        <v>0</v>
      </c>
      <c r="Z31" s="2">
        <v>28</v>
      </c>
      <c r="AA31" s="6">
        <f t="shared" si="4"/>
        <v>1.8147191334256366E-2</v>
      </c>
      <c r="AB31" s="2">
        <f t="shared" si="5"/>
        <v>0</v>
      </c>
      <c r="AL31" s="2">
        <v>28</v>
      </c>
      <c r="AM31" s="6">
        <f t="shared" si="6"/>
        <v>1.214731605443254E-2</v>
      </c>
      <c r="AN31" s="2">
        <f t="shared" si="7"/>
        <v>1.214731605443254E-2</v>
      </c>
    </row>
    <row r="32" spans="2:40" x14ac:dyDescent="0.3">
      <c r="B32" s="2">
        <v>29</v>
      </c>
      <c r="C32" s="6">
        <f t="shared" si="0"/>
        <v>2.4390243902439025E-2</v>
      </c>
      <c r="D32" s="2">
        <f t="shared" si="1"/>
        <v>2.4390243902439025E-2</v>
      </c>
      <c r="N32" s="2">
        <v>29</v>
      </c>
      <c r="O32" s="6">
        <f t="shared" si="2"/>
        <v>2.1025711612310239E-3</v>
      </c>
      <c r="P32" s="2">
        <f t="shared" si="3"/>
        <v>0</v>
      </c>
      <c r="Z32" s="2">
        <v>29</v>
      </c>
      <c r="AA32" s="6">
        <f t="shared" si="4"/>
        <v>1.2515304368452655E-2</v>
      </c>
      <c r="AB32" s="2">
        <f t="shared" si="5"/>
        <v>0</v>
      </c>
      <c r="AL32" s="2">
        <v>29</v>
      </c>
      <c r="AM32" s="6">
        <f t="shared" si="6"/>
        <v>1.1568872432792894E-2</v>
      </c>
      <c r="AN32" s="2">
        <f t="shared" si="7"/>
        <v>1.1568872432792894E-2</v>
      </c>
    </row>
    <row r="33" spans="2:40" x14ac:dyDescent="0.3">
      <c r="B33" s="2">
        <v>30</v>
      </c>
      <c r="C33" s="6">
        <f t="shared" si="0"/>
        <v>2.4390243902439025E-2</v>
      </c>
      <c r="D33" s="2">
        <f t="shared" si="1"/>
        <v>2.4390243902439025E-2</v>
      </c>
      <c r="N33" s="2">
        <v>30</v>
      </c>
      <c r="O33" s="6">
        <f t="shared" si="2"/>
        <v>7.7094275911804278E-4</v>
      </c>
      <c r="P33" s="2">
        <f t="shared" si="3"/>
        <v>0</v>
      </c>
      <c r="Z33" s="2">
        <v>30</v>
      </c>
      <c r="AA33" s="6">
        <f t="shared" si="4"/>
        <v>8.3435362456351133E-3</v>
      </c>
      <c r="AB33" s="2">
        <f t="shared" si="5"/>
        <v>0</v>
      </c>
      <c r="AL33" s="2">
        <v>30</v>
      </c>
      <c r="AM33" s="6">
        <f t="shared" si="6"/>
        <v>1.1017973745517041E-2</v>
      </c>
      <c r="AN33" s="2">
        <f t="shared" si="7"/>
        <v>1.1017973745517041E-2</v>
      </c>
    </row>
    <row r="34" spans="2:40" x14ac:dyDescent="0.3">
      <c r="B34" s="2">
        <v>31</v>
      </c>
      <c r="C34" s="6">
        <f t="shared" si="0"/>
        <v>2.4390243902439025E-2</v>
      </c>
      <c r="D34" s="2">
        <f t="shared" si="1"/>
        <v>2.4390243902439025E-2</v>
      </c>
      <c r="N34" s="2">
        <v>31</v>
      </c>
      <c r="O34" s="6">
        <f t="shared" si="2"/>
        <v>2.4869121261872286E-4</v>
      </c>
      <c r="P34" s="2">
        <f t="shared" si="3"/>
        <v>0</v>
      </c>
      <c r="Z34" s="2">
        <v>31</v>
      </c>
      <c r="AA34" s="6">
        <f t="shared" si="4"/>
        <v>5.3829266100871558E-3</v>
      </c>
      <c r="AB34" s="2">
        <f t="shared" si="5"/>
        <v>0</v>
      </c>
      <c r="AL34" s="2">
        <v>31</v>
      </c>
      <c r="AM34" s="6">
        <f t="shared" si="6"/>
        <v>1.0493308329063851E-2</v>
      </c>
      <c r="AN34" s="2">
        <f t="shared" si="7"/>
        <v>1.0493308329063851E-2</v>
      </c>
    </row>
    <row r="35" spans="2:40" x14ac:dyDescent="0.3">
      <c r="B35" s="2">
        <v>32</v>
      </c>
      <c r="C35" s="6">
        <f t="shared" si="0"/>
        <v>2.4390243902439025E-2</v>
      </c>
      <c r="D35" s="2">
        <f t="shared" si="1"/>
        <v>0</v>
      </c>
      <c r="N35" s="2">
        <v>32</v>
      </c>
      <c r="O35" s="6">
        <f t="shared" si="2"/>
        <v>6.9944403549015798E-5</v>
      </c>
      <c r="P35" s="2">
        <f t="shared" si="3"/>
        <v>0</v>
      </c>
      <c r="Z35" s="2">
        <v>32</v>
      </c>
      <c r="AA35" s="6">
        <f t="shared" si="4"/>
        <v>3.3643291313044709E-3</v>
      </c>
      <c r="AB35" s="2">
        <f t="shared" si="5"/>
        <v>0</v>
      </c>
      <c r="AL35" s="2">
        <v>32</v>
      </c>
      <c r="AM35" s="6">
        <f t="shared" si="6"/>
        <v>9.9936269800608088E-3</v>
      </c>
      <c r="AN35" s="2">
        <f t="shared" si="7"/>
        <v>9.9936269800608088E-3</v>
      </c>
    </row>
    <row r="36" spans="2:40" x14ac:dyDescent="0.3">
      <c r="B36" s="2">
        <v>33</v>
      </c>
      <c r="C36" s="6">
        <f t="shared" si="0"/>
        <v>2.4390243902439025E-2</v>
      </c>
      <c r="D36" s="2">
        <f t="shared" si="1"/>
        <v>0</v>
      </c>
      <c r="N36" s="2">
        <v>33</v>
      </c>
      <c r="O36" s="6">
        <f t="shared" si="2"/>
        <v>1.6956219042185755E-5</v>
      </c>
      <c r="P36" s="2">
        <f t="shared" si="3"/>
        <v>0</v>
      </c>
      <c r="Z36" s="2">
        <v>33</v>
      </c>
      <c r="AA36" s="6">
        <f t="shared" si="4"/>
        <v>2.0389873523057505E-3</v>
      </c>
      <c r="AB36" s="2">
        <f t="shared" si="5"/>
        <v>0</v>
      </c>
      <c r="AL36" s="2">
        <v>33</v>
      </c>
      <c r="AM36" s="6">
        <f t="shared" si="6"/>
        <v>9.5177399810102929E-3</v>
      </c>
      <c r="AN36" s="2">
        <f t="shared" si="7"/>
        <v>9.5177399810102929E-3</v>
      </c>
    </row>
    <row r="37" spans="2:40" x14ac:dyDescent="0.3">
      <c r="B37" s="2">
        <v>34</v>
      </c>
      <c r="C37" s="6">
        <f t="shared" si="0"/>
        <v>2.4390243902439025E-2</v>
      </c>
      <c r="D37" s="2">
        <f t="shared" si="1"/>
        <v>0</v>
      </c>
      <c r="N37" s="2">
        <v>34</v>
      </c>
      <c r="O37" s="6">
        <f t="shared" si="2"/>
        <v>3.490986273391174E-6</v>
      </c>
      <c r="P37" s="2">
        <f t="shared" si="3"/>
        <v>0</v>
      </c>
      <c r="Z37" s="2">
        <v>34</v>
      </c>
      <c r="AA37" s="6">
        <f t="shared" si="4"/>
        <v>1.199404324885734E-3</v>
      </c>
      <c r="AB37" s="2">
        <f t="shared" si="5"/>
        <v>0</v>
      </c>
      <c r="AL37" s="2">
        <v>34</v>
      </c>
      <c r="AM37" s="6">
        <f t="shared" si="6"/>
        <v>9.0645142676288506E-3</v>
      </c>
      <c r="AN37" s="2">
        <f t="shared" si="7"/>
        <v>9.0645142676288506E-3</v>
      </c>
    </row>
    <row r="38" spans="2:40" x14ac:dyDescent="0.3">
      <c r="B38" s="2">
        <v>35</v>
      </c>
      <c r="C38" s="6">
        <f t="shared" si="0"/>
        <v>2.4390243902439025E-2</v>
      </c>
      <c r="D38" s="2">
        <f t="shared" si="1"/>
        <v>0</v>
      </c>
      <c r="N38" s="2">
        <v>35</v>
      </c>
      <c r="O38" s="6">
        <f t="shared" si="2"/>
        <v>5.9845478972420139E-7</v>
      </c>
      <c r="P38" s="2">
        <f t="shared" si="3"/>
        <v>0</v>
      </c>
      <c r="Z38" s="2">
        <v>35</v>
      </c>
      <c r="AA38" s="6">
        <f t="shared" si="4"/>
        <v>6.8537389993470344E-4</v>
      </c>
      <c r="AB38" s="2">
        <f t="shared" si="5"/>
        <v>0</v>
      </c>
      <c r="AL38" s="2">
        <v>35</v>
      </c>
      <c r="AM38" s="6">
        <f t="shared" si="6"/>
        <v>8.6328707310750954E-3</v>
      </c>
      <c r="AN38" s="2">
        <f t="shared" si="7"/>
        <v>8.6328707310750954E-3</v>
      </c>
    </row>
    <row r="39" spans="2:40" x14ac:dyDescent="0.3">
      <c r="B39" s="2">
        <v>36</v>
      </c>
      <c r="C39" s="6">
        <f t="shared" si="0"/>
        <v>2.4390243902439025E-2</v>
      </c>
      <c r="D39" s="2">
        <f t="shared" si="1"/>
        <v>0</v>
      </c>
      <c r="N39" s="2">
        <v>36</v>
      </c>
      <c r="O39" s="6">
        <f t="shared" si="2"/>
        <v>8.3118720795027925E-8</v>
      </c>
      <c r="P39" s="2">
        <f t="shared" si="3"/>
        <v>0</v>
      </c>
      <c r="Z39" s="2">
        <v>36</v>
      </c>
      <c r="AA39" s="6">
        <f t="shared" si="4"/>
        <v>3.8076327774150232E-4</v>
      </c>
      <c r="AB39" s="2">
        <f t="shared" si="5"/>
        <v>0</v>
      </c>
      <c r="AL39" s="2">
        <v>36</v>
      </c>
      <c r="AM39" s="6">
        <f t="shared" si="6"/>
        <v>8.2217816486429476E-3</v>
      </c>
      <c r="AN39" s="2">
        <f t="shared" si="7"/>
        <v>8.2217816486429476E-3</v>
      </c>
    </row>
    <row r="40" spans="2:40" x14ac:dyDescent="0.3">
      <c r="B40" s="2">
        <v>37</v>
      </c>
      <c r="C40" s="6">
        <f t="shared" si="0"/>
        <v>2.4390243902439025E-2</v>
      </c>
      <c r="D40" s="2">
        <f t="shared" si="1"/>
        <v>0</v>
      </c>
      <c r="N40" s="2">
        <v>37</v>
      </c>
      <c r="O40" s="6">
        <f t="shared" si="2"/>
        <v>8.9858076535164896E-9</v>
      </c>
      <c r="P40" s="2">
        <f t="shared" si="3"/>
        <v>0</v>
      </c>
      <c r="Z40" s="2">
        <v>37</v>
      </c>
      <c r="AA40" s="6">
        <f t="shared" si="4"/>
        <v>2.0581798796837891E-4</v>
      </c>
      <c r="AB40" s="2">
        <f t="shared" si="5"/>
        <v>0</v>
      </c>
      <c r="AL40" s="2">
        <v>37</v>
      </c>
      <c r="AM40" s="6">
        <f t="shared" si="6"/>
        <v>7.8302682368028079E-3</v>
      </c>
      <c r="AN40" s="2">
        <f t="shared" si="7"/>
        <v>7.8302682368028079E-3</v>
      </c>
    </row>
    <row r="41" spans="2:40" x14ac:dyDescent="0.3">
      <c r="B41" s="2">
        <v>38</v>
      </c>
      <c r="C41" s="6">
        <f t="shared" si="0"/>
        <v>2.4390243902439025E-2</v>
      </c>
      <c r="D41" s="2">
        <f t="shared" si="1"/>
        <v>0</v>
      </c>
      <c r="N41" s="2">
        <v>38</v>
      </c>
      <c r="O41" s="6">
        <f t="shared" si="2"/>
        <v>7.0940586738288651E-10</v>
      </c>
      <c r="P41" s="2">
        <f t="shared" si="3"/>
        <v>0</v>
      </c>
      <c r="Z41" s="2">
        <v>38</v>
      </c>
      <c r="AA41" s="6">
        <f t="shared" si="4"/>
        <v>1.0832525682546335E-4</v>
      </c>
      <c r="AB41" s="2">
        <f t="shared" si="5"/>
        <v>0</v>
      </c>
      <c r="AL41" s="2">
        <v>38</v>
      </c>
      <c r="AM41" s="6">
        <f t="shared" si="6"/>
        <v>7.4573983207645786E-3</v>
      </c>
      <c r="AN41" s="2">
        <f t="shared" si="7"/>
        <v>7.4573983207645786E-3</v>
      </c>
    </row>
    <row r="42" spans="2:40" x14ac:dyDescent="0.3">
      <c r="B42" s="2">
        <v>39</v>
      </c>
      <c r="C42" s="6">
        <f t="shared" si="0"/>
        <v>2.4390243902439025E-2</v>
      </c>
      <c r="D42" s="2">
        <f t="shared" si="1"/>
        <v>0</v>
      </c>
      <c r="N42" s="2">
        <v>39</v>
      </c>
      <c r="O42" s="6">
        <f t="shared" si="2"/>
        <v>3.6379788070917149E-11</v>
      </c>
      <c r="P42" s="2">
        <f t="shared" si="3"/>
        <v>0</v>
      </c>
      <c r="Z42" s="2">
        <v>39</v>
      </c>
      <c r="AA42" s="6">
        <f t="shared" si="4"/>
        <v>5.5551413756647715E-5</v>
      </c>
      <c r="AB42" s="2">
        <f t="shared" si="5"/>
        <v>0</v>
      </c>
      <c r="AL42" s="2">
        <v>39</v>
      </c>
      <c r="AM42" s="6">
        <f t="shared" si="6"/>
        <v>7.1022841150138825E-3</v>
      </c>
      <c r="AN42" s="2">
        <f t="shared" si="7"/>
        <v>7.1022841150138825E-3</v>
      </c>
    </row>
    <row r="43" spans="2:40" ht="18" thickBot="1" x14ac:dyDescent="0.35">
      <c r="B43" s="3">
        <v>40</v>
      </c>
      <c r="C43" s="7">
        <f t="shared" si="0"/>
        <v>2.4390243902439025E-2</v>
      </c>
      <c r="D43" s="3">
        <f t="shared" si="1"/>
        <v>0</v>
      </c>
      <c r="N43" s="3">
        <v>40</v>
      </c>
      <c r="O43" s="6">
        <f t="shared" si="2"/>
        <v>9.0949470177292824E-13</v>
      </c>
      <c r="P43" s="2">
        <f t="shared" si="3"/>
        <v>0</v>
      </c>
      <c r="Z43" s="3">
        <v>40</v>
      </c>
      <c r="AA43" s="6">
        <f t="shared" si="4"/>
        <v>2.7775706878323834E-5</v>
      </c>
      <c r="AB43" s="2">
        <f t="shared" si="5"/>
        <v>0</v>
      </c>
      <c r="AL43" s="3">
        <v>40</v>
      </c>
      <c r="AM43" s="6">
        <f t="shared" si="6"/>
        <v>6.7640801095370318E-3</v>
      </c>
      <c r="AN43" s="2">
        <f t="shared" si="7"/>
        <v>6.7640801095370318E-3</v>
      </c>
    </row>
  </sheetData>
  <pageMargins left="0.7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2026-04-22T10:33:33Z</dcterms:created>
  <dcterms:modified xsi:type="dcterms:W3CDTF">2026-06-22T11:50:08Z</dcterms:modified>
</cp:coreProperties>
</file>